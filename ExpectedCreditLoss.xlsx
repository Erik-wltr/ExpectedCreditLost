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Dashboard" sheetId="1" r:id="rId5"/>
    <sheet name="Credit_Portfolio" sheetId="2" r:id="rId6"/>
    <sheet name="R_P" sheetId="3" r:id="rId7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<sst xmlns="http://schemas.openxmlformats.org/spreadsheetml/2006/main" uniqueCount="111">
  <si>
    <t>Dashboard</t>
  </si>
  <si>
    <t>Key figures portfolio</t>
  </si>
  <si>
    <t>Total ECL per branche</t>
  </si>
  <si>
    <t>Total ECL per rating</t>
  </si>
  <si>
    <t>Total portfolio ECL:</t>
  </si>
  <si>
    <t>Tech:</t>
  </si>
  <si>
    <t>A:</t>
  </si>
  <si>
    <t>Total exposure:</t>
  </si>
  <si>
    <t>Energy:</t>
  </si>
  <si>
    <t>BBB:</t>
  </si>
  <si>
    <t>ECL/exposure (%):</t>
  </si>
  <si>
    <t>Retail:</t>
  </si>
  <si>
    <t>BB:</t>
  </si>
  <si>
    <t>Average PD:</t>
  </si>
  <si>
    <t>B:</t>
  </si>
  <si>
    <t>Loan ID</t>
  </si>
  <si>
    <t>Rating</t>
  </si>
  <si>
    <t xml:space="preserve">Branche </t>
  </si>
  <si>
    <t>EAD</t>
  </si>
  <si>
    <t>Runtime (years)</t>
  </si>
  <si>
    <t>Stage</t>
  </si>
  <si>
    <t>LGD(%)</t>
  </si>
  <si>
    <t>PD</t>
  </si>
  <si>
    <t>Lifetime_PD</t>
  </si>
  <si>
    <t>ECL_base</t>
  </si>
  <si>
    <t>PD_downside</t>
  </si>
  <si>
    <t>Liftime_PD_downside</t>
  </si>
  <si>
    <t>ECL_downside</t>
  </si>
  <si>
    <t>PD_severe</t>
  </si>
  <si>
    <t>Liftime_PD_severe</t>
  </si>
  <si>
    <t>ECL_severe</t>
  </si>
  <si>
    <t>ECL_final</t>
  </si>
  <si>
    <t>Total ECL</t>
  </si>
  <si>
    <t>possible ratings</t>
  </si>
  <si>
    <t>possible branches</t>
  </si>
  <si>
    <t>L1</t>
  </si>
  <si>
    <t>BB</t>
  </si>
  <si>
    <t>Tech</t>
  </si>
  <si>
    <t>A</t>
  </si>
  <si>
    <t>L2</t>
  </si>
  <si>
    <t>BBB</t>
  </si>
  <si>
    <t>Energy</t>
  </si>
  <si>
    <t>L3</t>
  </si>
  <si>
    <t>Retail</t>
  </si>
  <si>
    <t>L4</t>
  </si>
  <si>
    <t>B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</si>
  <si>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</si>
  <si>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</si>
  <si>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</si>
  <si>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</si>
  <si>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</si>
  <si>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</si>
  <si>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</si>
  <si>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</si>
  <si>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</si>
  <si>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</si>
  <si>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</si>
  <si>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</si>
  <si>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</si>
  <si>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</si>
  <si>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</si>
  <si>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</si>
  <si>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</si>
  <si>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</si>
  <si>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</si>
  <si>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</si>
  <si>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</si>
  <si>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</si>
  <si>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</si>
  <si>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</si>
  <si>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</si>
  <si>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</si>
  <si>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L31</t>
  </si>
  <si>
    <t>L32</t>
  </si>
  <si>
    <t>L33</t>
  </si>
  <si>
    <t>L34</t>
  </si>
  <si>
    <t>L35</t>
  </si>
  <si>
    <t>L36</t>
  </si>
  <si>
    <t>L37</t>
  </si>
  <si>
    <t>L38</t>
  </si>
  <si>
    <t>L39</t>
  </si>
  <si>
    <t>L40</t>
  </si>
  <si>
    <t>L41</t>
  </si>
  <si>
    <t>L42</t>
  </si>
  <si>
    <t>L43</t>
  </si>
  <si>
    <t>L44</t>
  </si>
  <si>
    <t>L45</t>
  </si>
  <si>
    <t>L46</t>
  </si>
  <si>
    <t>L47</t>
  </si>
  <si>
    <t>L48</t>
  </si>
  <si>
    <t>L49</t>
  </si>
  <si>
    <t>L50</t>
  </si>
  <si>
    <t>L51</t>
  </si>
  <si>
    <t>L52</t>
  </si>
  <si>
    <t>L53</t>
  </si>
  <si>
    <t>L54</t>
  </si>
  <si>
    <t>L55</t>
  </si>
  <si>
    <t>L56</t>
  </si>
  <si>
    <t>L57</t>
  </si>
  <si>
    <t>L58</t>
  </si>
  <si>
    <t>L59</t>
  </si>
  <si>
    <t>L60</t>
  </si>
  <si>
    <t>1_Year_PD</t>
  </si>
  <si>
    <t>Branche</t>
  </si>
  <si>
    <t>Recovery_Rate</t>
  </si>
  <si>
    <t>Scenario</t>
  </si>
  <si>
    <t>PD_Factor</t>
  </si>
  <si>
    <t>Probability</t>
  </si>
  <si>
    <t>Base</t>
  </si>
  <si>
    <t>Downside</t>
  </si>
  <si>
    <t>Severe</t>
  </si>
</sst>
</file>

<file path=xl/styles.xml><?xml version="1.0" encoding="utf-8"?>
<styleSheet xmlns="http://schemas.openxmlformats.org/spreadsheetml/2006/main">
  <numFmts count="6">
    <numFmt numFmtId="0" formatCode="General"/>
    <numFmt numFmtId="59" formatCode="[$€-2] #,##0"/>
    <numFmt numFmtId="60" formatCode="[$€-2] #,##0.00"/>
    <numFmt numFmtId="61" formatCode="#,##0%"/>
    <numFmt numFmtId="62" formatCode="0.0%"/>
    <numFmt numFmtId="63" formatCode="0.0#%"/>
  </numFmts>
  <fonts count="7">
    <font>
      <sz val="10"/>
      <color indexed="8"/>
      <name val="Helvetica Neue"/>
    </font>
    <font>
      <sz val="12"/>
      <color indexed="8"/>
      <name val="Helvetica Neue"/>
    </font>
    <font>
      <b val="1"/>
      <u val="single"/>
      <sz val="23"/>
      <color indexed="8"/>
      <name val="Helvetica Neue"/>
    </font>
    <font>
      <sz val="12"/>
      <color indexed="12"/>
      <name val="Helvetica Neue"/>
    </font>
    <font>
      <b val="1"/>
      <sz val="14"/>
      <color indexed="8"/>
      <name val="Helvetica Neue"/>
    </font>
    <font>
      <b val="1"/>
      <sz val="10"/>
      <color indexed="8"/>
      <name val="Helvetica Neue"/>
    </font>
    <font>
      <sz val="12"/>
      <color indexed="8"/>
      <name val="Times Roman"/>
    </font>
  </fonts>
  <fills count="11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24"/>
        <bgColor auto="1"/>
      </patternFill>
    </fill>
    <fill>
      <patternFill patternType="solid">
        <fgColor indexed="25"/>
        <bgColor auto="1"/>
      </patternFill>
    </fill>
  </fills>
  <borders count="70">
    <border>
      <left/>
      <right/>
      <top/>
      <bottom/>
      <diagonal/>
    </border>
    <border>
      <left>
        <color indexed="8"/>
      </left>
      <right/>
      <top>
        <color indexed="8"/>
      </top>
      <bottom/>
      <diagonal/>
    </border>
    <border>
      <left/>
      <right/>
      <top>
        <color indexed="8"/>
      </top>
      <bottom/>
      <diagonal/>
    </border>
    <border>
      <left/>
      <right>
        <color indexed="8"/>
      </right>
      <top>
        <color indexed="8"/>
      </top>
      <bottom>
        <color indexed="8"/>
      </bottom>
      <diagonal/>
    </border>
    <border>
      <left>
        <color indexed="8"/>
      </left>
      <right/>
      <top/>
      <bottom/>
      <diagonal/>
    </border>
    <border>
      <left/>
      <right/>
      <top/>
      <bottom/>
      <diagonal/>
    </border>
    <border>
      <left/>
      <right>
        <color indexed="8"/>
      </right>
      <top/>
      <bottom/>
      <diagonal/>
    </border>
    <border>
      <left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/>
      <top/>
      <bottom style="thin">
        <color indexed="8"/>
      </bottom>
      <diagonal/>
    </border>
    <border>
      <left/>
      <right>
        <color indexed="8"/>
      </right>
      <top/>
      <bottom style="thin">
        <color indexed="8"/>
      </bottom>
      <diagonal/>
    </border>
    <border>
      <left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 style="thin">
        <color indexed="8"/>
      </left>
      <right/>
      <top style="thin">
        <color indexed="10"/>
      </top>
      <bottom/>
      <diagonal/>
    </border>
    <border>
      <left/>
      <right style="thin">
        <color indexed="8"/>
      </right>
      <top style="thin">
        <color indexed="10"/>
      </top>
      <bottom/>
      <diagonal/>
    </border>
    <border>
      <left style="thin">
        <color indexed="8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8"/>
      </right>
      <top/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>
        <color indexed="8"/>
      </right>
      <top/>
      <bottom/>
      <diagonal/>
    </border>
    <border>
      <left>
        <color indexed="8"/>
      </left>
      <right/>
      <top/>
      <bottom>
        <color indexed="8"/>
      </bottom>
      <diagonal/>
    </border>
    <border>
      <left/>
      <right/>
      <top style="thin">
        <color indexed="8"/>
      </top>
      <bottom>
        <color indexed="8"/>
      </bottom>
      <diagonal/>
    </border>
    <border>
      <left/>
      <right/>
      <top/>
      <bottom>
        <color indexed="8"/>
      </bottom>
      <diagonal/>
    </border>
    <border>
      <left/>
      <right>
        <color indexed="8"/>
      </right>
      <top/>
      <bottom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7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7"/>
      </right>
      <top style="thin">
        <color indexed="10"/>
      </top>
      <bottom style="thin">
        <color indexed="17"/>
      </bottom>
      <diagonal/>
    </border>
    <border>
      <left style="thin">
        <color indexed="17"/>
      </left>
      <right style="thin">
        <color indexed="10"/>
      </right>
      <top style="thin">
        <color indexed="17"/>
      </top>
      <bottom style="thin">
        <color indexed="17"/>
      </bottom>
      <diagonal/>
    </border>
    <border>
      <left style="thin">
        <color indexed="10"/>
      </left>
      <right style="thin">
        <color indexed="10"/>
      </right>
      <top style="thin">
        <color indexed="17"/>
      </top>
      <bottom style="thin">
        <color indexed="17"/>
      </bottom>
      <diagonal/>
    </border>
    <border>
      <left style="thin">
        <color indexed="10"/>
      </left>
      <right style="thin">
        <color indexed="10"/>
      </right>
      <top style="thin">
        <color indexed="17"/>
      </top>
      <bottom style="thin">
        <color indexed="20"/>
      </bottom>
      <diagonal/>
    </border>
    <border>
      <left style="thin">
        <color indexed="10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17"/>
      </left>
      <right style="medium">
        <color indexed="8"/>
      </right>
      <top style="thin">
        <color indexed="10"/>
      </top>
      <bottom style="thin">
        <color indexed="17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17"/>
      </bottom>
      <diagonal/>
    </border>
    <border>
      <left style="medium">
        <color indexed="8"/>
      </left>
      <right style="thin">
        <color indexed="10"/>
      </right>
      <top style="thin">
        <color indexed="10"/>
      </top>
      <bottom style="thin">
        <color indexed="17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7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7"/>
      </bottom>
      <diagonal/>
    </border>
    <border>
      <left style="thin">
        <color indexed="10"/>
      </left>
      <right style="thin">
        <color indexed="17"/>
      </right>
      <top style="thin">
        <color indexed="17"/>
      </top>
      <bottom style="thin">
        <color indexed="10"/>
      </bottom>
      <diagonal/>
    </border>
    <border>
      <left style="thin">
        <color indexed="17"/>
      </left>
      <right style="thin">
        <color indexed="10"/>
      </right>
      <top style="thin">
        <color indexed="17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7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20"/>
      </top>
      <bottom style="thin">
        <color indexed="10"/>
      </bottom>
      <diagonal/>
    </border>
    <border>
      <left style="thin">
        <color indexed="17"/>
      </left>
      <right style="medium">
        <color indexed="8"/>
      </right>
      <top style="thin">
        <color indexed="17"/>
      </top>
      <bottom style="thin">
        <color indexed="10"/>
      </bottom>
      <diagonal/>
    </border>
    <border>
      <left style="medium">
        <color indexed="8"/>
      </left>
      <right style="medium">
        <color indexed="8"/>
      </right>
      <top style="thin">
        <color indexed="17"/>
      </top>
      <bottom style="medium">
        <color indexed="8"/>
      </bottom>
      <diagonal/>
    </border>
    <border>
      <left style="medium">
        <color indexed="8"/>
      </left>
      <right style="thin">
        <color indexed="10"/>
      </right>
      <top style="thin">
        <color indexed="17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7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7"/>
      </top>
      <bottom style="thin">
        <color indexed="10"/>
      </bottom>
      <diagonal/>
    </border>
    <border>
      <left style="thin">
        <color indexed="10"/>
      </left>
      <right style="thin">
        <color indexed="17"/>
      </right>
      <top style="thin">
        <color indexed="10"/>
      </top>
      <bottom style="thin">
        <color indexed="10"/>
      </bottom>
      <diagonal/>
    </border>
    <border>
      <left style="thin">
        <color indexed="17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7"/>
      </left>
      <right style="thin">
        <color indexed="10"/>
      </right>
      <top style="thin">
        <color indexed="10"/>
      </top>
      <bottom style="thin">
        <color indexed="17"/>
      </bottom>
      <diagonal/>
    </border>
    <border>
      <left>
        <color indexed="8"/>
      </left>
      <right style="thin">
        <color indexed="10"/>
      </right>
      <top>
        <color indexed="8"/>
      </top>
      <bottom>
        <color indexed="8"/>
      </bottom>
      <diagonal/>
    </border>
    <border>
      <left style="thin">
        <color indexed="10"/>
      </left>
      <right style="thin">
        <color indexed="10"/>
      </right>
      <top>
        <color indexed="8"/>
      </top>
      <bottom>
        <color indexed="8"/>
      </bottom>
      <diagonal/>
    </border>
    <border>
      <left style="thin">
        <color indexed="10"/>
      </left>
      <right>
        <color indexed="8"/>
      </right>
      <top>
        <color indexed="8"/>
      </top>
      <bottom>
        <color indexed="8"/>
      </bottom>
      <diagonal/>
    </border>
    <border>
      <left>
        <color indexed="8"/>
      </left>
      <right>
        <color indexed="8"/>
      </right>
      <top style="thin">
        <color indexed="10"/>
      </top>
      <bottom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borderId="1" applyNumberFormat="0" applyFont="1" applyFill="0" applyBorder="1" applyAlignment="1" applyProtection="0">
      <alignment vertical="top" wrapText="1"/>
    </xf>
    <xf numFmtId="0" fontId="0" borderId="2" applyNumberFormat="0" applyFont="1" applyFill="0" applyBorder="1" applyAlignment="1" applyProtection="0">
      <alignment vertical="top" wrapText="1"/>
    </xf>
    <xf numFmtId="49" fontId="2" borderId="2" applyNumberFormat="1" applyFont="1" applyFill="0" applyBorder="1" applyAlignment="1" applyProtection="0">
      <alignment horizontal="center" vertical="top" wrapText="1"/>
    </xf>
    <xf numFmtId="0" fontId="0" borderId="3" applyNumberFormat="0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0" fontId="0" borderId="5" applyNumberFormat="0" applyFont="1" applyFill="0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0" borderId="8" applyNumberFormat="0" applyFont="1" applyFill="0" applyBorder="1" applyAlignment="1" applyProtection="0">
      <alignment vertical="top" wrapText="1"/>
    </xf>
    <xf numFmtId="0" fontId="0" borderId="9" applyNumberFormat="0" applyFont="1" applyFill="0" applyBorder="1" applyAlignment="1" applyProtection="0">
      <alignment vertical="top" wrapText="1"/>
    </xf>
    <xf numFmtId="0" fontId="0" borderId="10" applyNumberFormat="0" applyFont="1" applyFill="0" applyBorder="1" applyAlignment="1" applyProtection="0">
      <alignment vertical="top" wrapText="1"/>
    </xf>
    <xf numFmtId="49" fontId="1" fillId="2" borderId="11" applyNumberFormat="1" applyFont="1" applyFill="1" applyBorder="1" applyAlignment="1" applyProtection="0">
      <alignment vertical="top" wrapText="1"/>
    </xf>
    <xf numFmtId="0" fontId="0" borderId="12" applyNumberFormat="0" applyFont="1" applyFill="0" applyBorder="1" applyAlignment="1" applyProtection="0">
      <alignment vertical="top" wrapText="1"/>
    </xf>
    <xf numFmtId="0" fontId="0" borderId="13" applyNumberFormat="0" applyFont="1" applyFill="0" applyBorder="1" applyAlignment="1" applyProtection="0">
      <alignment vertical="top" wrapText="1"/>
    </xf>
    <xf numFmtId="49" fontId="0" fillId="2" borderId="14" applyNumberFormat="1" applyFont="1" applyFill="1" applyBorder="1" applyAlignment="1" applyProtection="0">
      <alignment vertical="top" wrapText="1"/>
    </xf>
    <xf numFmtId="0" fontId="0" borderId="15" applyNumberFormat="0" applyFont="1" applyFill="0" applyBorder="1" applyAlignment="1" applyProtection="0">
      <alignment vertical="top" wrapText="1"/>
    </xf>
    <xf numFmtId="49" fontId="0" fillId="2" borderId="11" applyNumberFormat="1" applyFont="1" applyFill="1" applyBorder="1" applyAlignment="1" applyProtection="0">
      <alignment vertical="top" wrapText="1"/>
    </xf>
    <xf numFmtId="0" fontId="0" borderId="16" applyNumberFormat="0" applyFont="1" applyFill="0" applyBorder="1" applyAlignment="1" applyProtection="0">
      <alignment vertical="top" wrapText="1"/>
    </xf>
    <xf numFmtId="49" fontId="0" fillId="3" borderId="17" applyNumberFormat="1" applyFont="1" applyFill="1" applyBorder="1" applyAlignment="1" applyProtection="0">
      <alignment vertical="top" wrapText="1"/>
    </xf>
    <xf numFmtId="59" fontId="0" borderId="18" applyNumberFormat="1" applyFont="1" applyFill="0" applyBorder="1" applyAlignment="1" applyProtection="0">
      <alignment vertical="top" wrapText="1"/>
    </xf>
    <xf numFmtId="49" fontId="0" fillId="3" borderId="19" applyNumberFormat="1" applyFont="1" applyFill="1" applyBorder="1" applyAlignment="1" applyProtection="0">
      <alignment vertical="top" wrapText="1"/>
    </xf>
    <xf numFmtId="60" fontId="0" borderId="20" applyNumberFormat="1" applyFont="1" applyFill="0" applyBorder="1" applyAlignment="1" applyProtection="0">
      <alignment vertical="top" wrapText="1"/>
    </xf>
    <xf numFmtId="49" fontId="0" fillId="3" borderId="21" applyNumberFormat="1" applyFont="1" applyFill="1" applyBorder="1" applyAlignment="1" applyProtection="0">
      <alignment vertical="top" wrapText="1"/>
    </xf>
    <xf numFmtId="60" fontId="0" borderId="22" applyNumberFormat="1" applyFont="1" applyFill="0" applyBorder="1" applyAlignment="1" applyProtection="0">
      <alignment vertical="top" wrapText="1"/>
    </xf>
    <xf numFmtId="49" fontId="0" fillId="3" borderId="23" applyNumberFormat="1" applyFont="1" applyFill="1" applyBorder="1" applyAlignment="1" applyProtection="0">
      <alignment vertical="top" wrapText="1"/>
    </xf>
    <xf numFmtId="59" fontId="0" borderId="24" applyNumberFormat="1" applyFont="1" applyFill="0" applyBorder="1" applyAlignment="1" applyProtection="0">
      <alignment vertical="top" wrapText="1"/>
    </xf>
    <xf numFmtId="10" fontId="0" borderId="24" applyNumberFormat="1" applyFont="1" applyFill="0" applyBorder="1" applyAlignment="1" applyProtection="0">
      <alignment vertical="top" wrapText="1"/>
    </xf>
    <xf numFmtId="49" fontId="0" fillId="3" borderId="25" applyNumberFormat="1" applyFont="1" applyFill="1" applyBorder="1" applyAlignment="1" applyProtection="0">
      <alignment vertical="top" wrapText="1"/>
    </xf>
    <xf numFmtId="60" fontId="0" borderId="26" applyNumberFormat="1" applyFont="1" applyFill="0" applyBorder="1" applyAlignment="1" applyProtection="0">
      <alignment vertical="top" wrapText="1"/>
    </xf>
    <xf numFmtId="0" fontId="0" borderId="27" applyNumberFormat="0" applyFont="1" applyFill="0" applyBorder="1" applyAlignment="1" applyProtection="0">
      <alignment vertical="top" wrapText="1"/>
    </xf>
    <xf numFmtId="49" fontId="0" fillId="3" borderId="28" applyNumberFormat="1" applyFont="1" applyFill="1" applyBorder="1" applyAlignment="1" applyProtection="0">
      <alignment vertical="top" wrapText="1"/>
    </xf>
    <xf numFmtId="10" fontId="0" borderId="29" applyNumberFormat="1" applyFont="1" applyFill="0" applyBorder="1" applyAlignment="1" applyProtection="0">
      <alignment vertical="top" wrapText="1"/>
    </xf>
    <xf numFmtId="0" fontId="0" borderId="23" applyNumberFormat="0" applyFont="1" applyFill="0" applyBorder="1" applyAlignment="1" applyProtection="0">
      <alignment vertical="top" wrapText="1"/>
    </xf>
    <xf numFmtId="0" fontId="0" borderId="30" applyNumberFormat="0" applyFont="1" applyFill="0" applyBorder="1" applyAlignment="1" applyProtection="0">
      <alignment vertical="top" wrapText="1"/>
    </xf>
    <xf numFmtId="0" fontId="0" borderId="24" applyNumberFormat="0" applyFont="1" applyFill="0" applyBorder="1" applyAlignment="1" applyProtection="0">
      <alignment vertical="top" wrapText="1"/>
    </xf>
    <xf numFmtId="0" fontId="0" borderId="31" applyNumberFormat="0" applyFont="1" applyFill="0" applyBorder="1" applyAlignment="1" applyProtection="0">
      <alignment vertical="top" wrapText="1"/>
    </xf>
    <xf numFmtId="0" fontId="0" borderId="32" applyNumberFormat="0" applyFont="1" applyFill="0" applyBorder="1" applyAlignment="1" applyProtection="0">
      <alignment vertical="top" wrapText="1"/>
    </xf>
    <xf numFmtId="0" fontId="0" borderId="33" applyNumberFormat="0" applyFont="1" applyFill="0" applyBorder="1" applyAlignment="1" applyProtection="0">
      <alignment vertical="top" wrapText="1"/>
    </xf>
    <xf numFmtId="0" fontId="0" borderId="34" applyNumberFormat="0" applyFont="1" applyFill="0" applyBorder="1" applyAlignment="1" applyProtection="0">
      <alignment vertical="top" wrapText="1"/>
    </xf>
    <xf numFmtId="0" fontId="0" borderId="35" applyNumberFormat="0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5" borderId="36" applyNumberFormat="0" applyFont="1" applyFill="0" applyBorder="1" applyAlignment="1" applyProtection="0">
      <alignment vertical="top" wrapText="1"/>
    </xf>
    <xf numFmtId="59" fontId="5" borderId="36" applyNumberFormat="1" applyFont="1" applyFill="0" applyBorder="1" applyAlignment="1" applyProtection="0">
      <alignment vertical="top" wrapText="1"/>
    </xf>
    <xf numFmtId="0" fontId="5" borderId="37" applyNumberFormat="0" applyFont="1" applyFill="0" applyBorder="1" applyAlignment="1" applyProtection="0">
      <alignment vertical="top" wrapText="1"/>
    </xf>
    <xf numFmtId="59" fontId="5" borderId="37" applyNumberFormat="1" applyFont="1" applyFill="0" applyBorder="1" applyAlignment="1" applyProtection="0">
      <alignment vertical="top" wrapText="1"/>
    </xf>
    <xf numFmtId="0" fontId="5" borderId="38" applyNumberFormat="0" applyFont="1" applyFill="0" applyBorder="1" applyAlignment="1" applyProtection="0">
      <alignment vertical="top" wrapText="1"/>
    </xf>
    <xf numFmtId="0" fontId="5" borderId="39" applyNumberFormat="0" applyFont="1" applyFill="0" applyBorder="1" applyAlignment="1" applyProtection="0">
      <alignment vertical="top" wrapText="1"/>
    </xf>
    <xf numFmtId="0" fontId="5" borderId="40" applyNumberFormat="0" applyFont="1" applyFill="0" applyBorder="1" applyAlignment="1" applyProtection="0">
      <alignment vertical="top" wrapText="1"/>
    </xf>
    <xf numFmtId="49" fontId="5" fillId="4" borderId="41" applyNumberFormat="1" applyFont="1" applyFill="1" applyBorder="1" applyAlignment="1" applyProtection="0">
      <alignment vertical="top" wrapText="1"/>
    </xf>
    <xf numFmtId="49" fontId="5" fillId="4" borderId="42" applyNumberFormat="1" applyFont="1" applyFill="1" applyBorder="1" applyAlignment="1" applyProtection="0">
      <alignment vertical="top" wrapText="1"/>
    </xf>
    <xf numFmtId="49" fontId="5" fillId="5" borderId="43" applyNumberFormat="1" applyFont="1" applyFill="1" applyBorder="1" applyAlignment="1" applyProtection="0">
      <alignment vertical="top" wrapText="1"/>
    </xf>
    <xf numFmtId="49" fontId="5" fillId="5" borderId="42" applyNumberFormat="1" applyFont="1" applyFill="1" applyBorder="1" applyAlignment="1" applyProtection="0">
      <alignment vertical="top" wrapText="1"/>
    </xf>
    <xf numFmtId="49" fontId="5" fillId="6" borderId="42" applyNumberFormat="1" applyFont="1" applyFill="1" applyBorder="1" applyAlignment="1" applyProtection="0">
      <alignment vertical="top" wrapText="1"/>
    </xf>
    <xf numFmtId="49" fontId="5" fillId="7" borderId="44" applyNumberFormat="1" applyFont="1" applyFill="1" applyBorder="1" applyAlignment="1" applyProtection="0">
      <alignment vertical="top" wrapText="1"/>
    </xf>
    <xf numFmtId="0" fontId="5" borderId="45" applyNumberFormat="0" applyFont="1" applyFill="0" applyBorder="1" applyAlignment="1" applyProtection="0">
      <alignment vertical="top" wrapText="1"/>
    </xf>
    <xf numFmtId="49" fontId="5" fillId="8" borderId="46" applyNumberFormat="1" applyFont="1" applyFill="1" applyBorder="1" applyAlignment="1" applyProtection="0">
      <alignment vertical="top" wrapText="1"/>
    </xf>
    <xf numFmtId="0" fontId="5" borderId="47" applyNumberFormat="0" applyFont="1" applyFill="0" applyBorder="1" applyAlignment="1" applyProtection="0">
      <alignment vertical="top" wrapText="1"/>
    </xf>
    <xf numFmtId="0" fontId="5" borderId="48" applyNumberFormat="0" applyFont="1" applyFill="0" applyBorder="1" applyAlignment="1" applyProtection="0">
      <alignment vertical="top" wrapText="1"/>
    </xf>
    <xf numFmtId="49" fontId="5" fillId="3" borderId="49" applyNumberFormat="1" applyFont="1" applyFill="1" applyBorder="1" applyAlignment="1" applyProtection="0">
      <alignment vertical="top" wrapText="1"/>
    </xf>
    <xf numFmtId="0" fontId="0" borderId="50" applyNumberFormat="0" applyFont="1" applyFill="0" applyBorder="1" applyAlignment="1" applyProtection="0">
      <alignment vertical="top" wrapText="1"/>
    </xf>
    <xf numFmtId="49" fontId="0" borderId="51" applyNumberFormat="1" applyFont="1" applyFill="0" applyBorder="1" applyAlignment="1" applyProtection="0">
      <alignment vertical="top" wrapText="1"/>
    </xf>
    <xf numFmtId="0" fontId="0" borderId="52" applyNumberFormat="0" applyFont="1" applyFill="0" applyBorder="1" applyAlignment="1" applyProtection="0">
      <alignment vertical="top" wrapText="1"/>
    </xf>
    <xf numFmtId="59" fontId="6" borderId="52" applyNumberFormat="1" applyFont="1" applyFill="0" applyBorder="1" applyAlignment="1" applyProtection="0">
      <alignment vertical="top" wrapText="1"/>
    </xf>
    <xf numFmtId="0" fontId="0" borderId="52" applyNumberFormat="1" applyFont="1" applyFill="0" applyBorder="1" applyAlignment="1" applyProtection="0">
      <alignment vertical="top" wrapText="1"/>
    </xf>
    <xf numFmtId="0" fontId="0" borderId="53" applyNumberFormat="1" applyFont="1" applyFill="0" applyBorder="1" applyAlignment="1" applyProtection="0">
      <alignment vertical="top" wrapText="1"/>
    </xf>
    <xf numFmtId="62" fontId="0" borderId="52" applyNumberFormat="1" applyFont="1" applyFill="0" applyBorder="1" applyAlignment="1" applyProtection="0">
      <alignment vertical="top" wrapText="1"/>
    </xf>
    <xf numFmtId="9" fontId="0" borderId="52" applyNumberFormat="1" applyFont="1" applyFill="0" applyBorder="1" applyAlignment="1" applyProtection="0">
      <alignment vertical="top" wrapText="1"/>
    </xf>
    <xf numFmtId="10" fontId="0" borderId="52" applyNumberFormat="1" applyFont="1" applyFill="0" applyBorder="1" applyAlignment="1" applyProtection="0">
      <alignment vertical="top" wrapText="1"/>
    </xf>
    <xf numFmtId="59" fontId="0" borderId="52" applyNumberFormat="1" applyFont="1" applyFill="0" applyBorder="1" applyAlignment="1" applyProtection="0">
      <alignment vertical="top" wrapText="1"/>
    </xf>
    <xf numFmtId="59" fontId="0" borderId="50" applyNumberFormat="1" applyFont="1" applyFill="0" applyBorder="1" applyAlignment="1" applyProtection="0">
      <alignment vertical="top" wrapText="1"/>
    </xf>
    <xf numFmtId="0" fontId="0" borderId="54" applyNumberFormat="0" applyFont="1" applyFill="0" applyBorder="1" applyAlignment="1" applyProtection="0">
      <alignment vertical="top" wrapText="1"/>
    </xf>
    <xf numFmtId="59" fontId="0" borderId="55" applyNumberFormat="1" applyFont="1" applyFill="0" applyBorder="1" applyAlignment="1" applyProtection="0">
      <alignment vertical="top" wrapText="1"/>
    </xf>
    <xf numFmtId="0" fontId="0" borderId="56" applyNumberFormat="0" applyFont="1" applyFill="0" applyBorder="1" applyAlignment="1" applyProtection="0">
      <alignment vertical="top" wrapText="1"/>
    </xf>
    <xf numFmtId="0" fontId="0" borderId="57" applyNumberFormat="0" applyFont="1" applyFill="0" applyBorder="1" applyAlignment="1" applyProtection="0">
      <alignment vertical="top" wrapText="1"/>
    </xf>
    <xf numFmtId="49" fontId="0" fillId="9" borderId="58" applyNumberFormat="1" applyFont="1" applyFill="1" applyBorder="1" applyAlignment="1" applyProtection="0">
      <alignment vertical="top" wrapText="1"/>
    </xf>
    <xf numFmtId="0" fontId="0" borderId="59" applyNumberFormat="0" applyFont="1" applyFill="0" applyBorder="1" applyAlignment="1" applyProtection="0">
      <alignment vertical="top" wrapText="1"/>
    </xf>
    <xf numFmtId="49" fontId="0" borderId="60" applyNumberFormat="1" applyFont="1" applyFill="0" applyBorder="1" applyAlignment="1" applyProtection="0">
      <alignment vertical="top" wrapText="1"/>
    </xf>
    <xf numFmtId="0" fontId="0" borderId="36" applyNumberFormat="0" applyFont="1" applyFill="0" applyBorder="1" applyAlignment="1" applyProtection="0">
      <alignment vertical="top" wrapText="1"/>
    </xf>
    <xf numFmtId="59" fontId="6" borderId="36" applyNumberFormat="1" applyFont="1" applyFill="0" applyBorder="1" applyAlignment="1" applyProtection="0">
      <alignment vertical="top" wrapText="1"/>
    </xf>
    <xf numFmtId="0" fontId="0" borderId="36" applyNumberFormat="1" applyFont="1" applyFill="0" applyBorder="1" applyAlignment="1" applyProtection="0">
      <alignment vertical="top" wrapText="1"/>
    </xf>
    <xf numFmtId="62" fontId="0" borderId="36" applyNumberFormat="1" applyFont="1" applyFill="0" applyBorder="1" applyAlignment="1" applyProtection="0">
      <alignment vertical="top" wrapText="1"/>
    </xf>
    <xf numFmtId="10" fontId="0" borderId="36" applyNumberFormat="1" applyFont="1" applyFill="0" applyBorder="1" applyAlignment="1" applyProtection="0">
      <alignment vertical="top" wrapText="1"/>
    </xf>
    <xf numFmtId="59" fontId="0" borderId="36" applyNumberFormat="1" applyFont="1" applyFill="0" applyBorder="1" applyAlignment="1" applyProtection="0">
      <alignment vertical="top" wrapText="1"/>
    </xf>
    <xf numFmtId="63" fontId="0" borderId="36" applyNumberFormat="1" applyFont="1" applyFill="0" applyBorder="1" applyAlignment="1" applyProtection="0">
      <alignment vertical="top" wrapText="1"/>
    </xf>
    <xf numFmtId="59" fontId="0" borderId="59" applyNumberFormat="1" applyFont="1" applyFill="0" applyBorder="1" applyAlignment="1" applyProtection="0">
      <alignment vertical="top" wrapText="1"/>
    </xf>
    <xf numFmtId="0" fontId="0" borderId="60" applyNumberFormat="0" applyFont="1" applyFill="0" applyBorder="1" applyAlignment="1" applyProtection="0">
      <alignment vertical="top" wrapText="1"/>
    </xf>
    <xf numFmtId="0" fontId="0" borderId="61" applyNumberFormat="0" applyFont="1" applyFill="0" applyBorder="1" applyAlignment="1" applyProtection="0">
      <alignment vertical="top" wrapText="1"/>
    </xf>
    <xf numFmtId="0" fontId="0" borderId="22" applyNumberFormat="0" applyFont="1" applyFill="0" applyBorder="1" applyAlignment="1" applyProtection="0">
      <alignment vertical="top" wrapText="1"/>
    </xf>
    <xf numFmtId="49" fontId="0" fillId="9" borderId="62" applyNumberFormat="1" applyFont="1" applyFill="1" applyBorder="1" applyAlignment="1" applyProtection="0">
      <alignment vertical="top" wrapText="1"/>
    </xf>
    <xf numFmtId="9" fontId="0" borderId="36" applyNumberFormat="1" applyFont="1" applyFill="0" applyBorder="1" applyAlignment="1" applyProtection="0">
      <alignment vertical="top" wrapText="1"/>
    </xf>
    <xf numFmtId="49" fontId="0" fillId="9" borderId="63" applyNumberFormat="1" applyFont="1" applyFill="1" applyBorder="1" applyAlignment="1" applyProtection="0">
      <alignment vertical="top" wrapText="1"/>
    </xf>
    <xf numFmtId="0" fontId="0" borderId="11" applyNumberFormat="0" applyFont="1" applyFill="0" applyBorder="1" applyAlignment="1" applyProtection="0">
      <alignment vertical="top" wrapText="1"/>
    </xf>
    <xf numFmtId="0" fontId="0" borderId="64" applyNumberFormat="0" applyFont="1" applyFill="0" applyBorder="1" applyAlignment="1" applyProtection="0">
      <alignment vertical="top" wrapText="1"/>
    </xf>
    <xf numFmtId="49" fontId="0" borderId="65" applyNumberFormat="1" applyFont="1" applyFill="0" applyBorder="1" applyAlignment="1" applyProtection="0">
      <alignment vertical="top" wrapText="1"/>
    </xf>
    <xf numFmtId="0" fontId="0" borderId="37" applyNumberFormat="0" applyFont="1" applyFill="0" applyBorder="1" applyAlignment="1" applyProtection="0">
      <alignment vertical="top" wrapText="1"/>
    </xf>
    <xf numFmtId="59" fontId="6" borderId="37" applyNumberFormat="1" applyFont="1" applyFill="0" applyBorder="1" applyAlignment="1" applyProtection="0">
      <alignment vertical="top" wrapText="1"/>
    </xf>
    <xf numFmtId="0" fontId="0" borderId="37" applyNumberFormat="1" applyFont="1" applyFill="0" applyBorder="1" applyAlignment="1" applyProtection="0">
      <alignment vertical="top" wrapText="1"/>
    </xf>
    <xf numFmtId="9" fontId="0" borderId="37" applyNumberFormat="1" applyFont="1" applyFill="0" applyBorder="1" applyAlignment="1" applyProtection="0">
      <alignment vertical="top" wrapText="1"/>
    </xf>
    <xf numFmtId="10" fontId="0" borderId="37" applyNumberFormat="1" applyFont="1" applyFill="0" applyBorder="1" applyAlignment="1" applyProtection="0">
      <alignment vertical="top" wrapText="1"/>
    </xf>
    <xf numFmtId="59" fontId="0" borderId="37" applyNumberFormat="1" applyFont="1" applyFill="0" applyBorder="1" applyAlignment="1" applyProtection="0">
      <alignment vertical="top" wrapText="1"/>
    </xf>
    <xf numFmtId="62" fontId="0" borderId="37" applyNumberFormat="1" applyFont="1" applyFill="0" applyBorder="1" applyAlignment="1" applyProtection="0">
      <alignment vertical="top" wrapText="1"/>
    </xf>
    <xf numFmtId="59" fontId="0" borderId="40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5" borderId="66" applyNumberFormat="0" applyFont="1" applyFill="0" applyBorder="1" applyAlignment="1" applyProtection="0">
      <alignment vertical="top" wrapText="1"/>
    </xf>
    <xf numFmtId="49" fontId="5" fillId="10" borderId="36" applyNumberFormat="1" applyFont="1" applyFill="1" applyBorder="1" applyAlignment="1" applyProtection="0">
      <alignment vertical="top" wrapText="1"/>
    </xf>
    <xf numFmtId="0" fontId="5" borderId="67" applyNumberFormat="0" applyFont="1" applyFill="0" applyBorder="1" applyAlignment="1" applyProtection="0">
      <alignment vertical="top" wrapText="1"/>
    </xf>
    <xf numFmtId="0" fontId="0" borderId="66" applyNumberFormat="0" applyFont="1" applyFill="0" applyBorder="1" applyAlignment="1" applyProtection="0">
      <alignment vertical="top" wrapText="1"/>
    </xf>
    <xf numFmtId="49" fontId="0" fillId="3" borderId="36" applyNumberFormat="1" applyFont="1" applyFill="1" applyBorder="1" applyAlignment="1" applyProtection="0">
      <alignment vertical="top" wrapText="1"/>
    </xf>
    <xf numFmtId="0" fontId="0" borderId="67" applyNumberFormat="0" applyFont="1" applyFill="0" applyBorder="1" applyAlignment="1" applyProtection="0">
      <alignment vertical="top" wrapText="1"/>
    </xf>
    <xf numFmtId="0" fontId="0" borderId="68" applyNumberFormat="0" applyFont="1" applyFill="0" applyBorder="1" applyAlignment="1" applyProtection="0">
      <alignment vertical="top" wrapText="1"/>
    </xf>
    <xf numFmtId="0" fontId="0" borderId="69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00a1fe"/>
      <rgbColor rgb="ffa5a5a5"/>
      <rgbColor rgb="ffd5d5d5"/>
      <rgbColor rgb="fffefffe"/>
      <rgbColor rgb="ff2e578b"/>
      <rgbColor rgb="ff5d9548"/>
      <rgbColor rgb="ffe7a03c"/>
      <rgbColor rgb="ffbc2c2f"/>
      <rgbColor rgb="ff3f3f3f"/>
      <rgbColor rgb="ff88f94e"/>
      <rgbColor rgb="fffff056"/>
      <rgbColor rgb="ffbfbfbf"/>
      <rgbColor rgb="ffffd931"/>
      <rgbColor rgb="fffdad00"/>
      <rgbColor rgb="fffe634d"/>
      <rgbColor rgb="ff919191"/>
      <rgbColor rgb="ffbdc0b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135256"/>
          <c:y val="0.124613"/>
          <c:w val="0.729489"/>
          <c:h val="0.862887"/>
        </c:manualLayout>
      </c:layout>
      <c:pieChart>
        <c:varyColors val="0"/>
        <c:ser>
          <c:idx val="0"/>
          <c:order val="0"/>
          <c:tx>
            <c:strRef>
              <c:f>'Dashboard'!$E$5:$E$7</c:f>
              <c:strCache>
                <c:ptCount val="1"/>
                <c:pt idx="0">
                  <c:v>Tech</c:v>
                </c:pt>
              </c:strCache>
            </c:strRef>
          </c:tx>
          <c:spPr>
            <a:solidFill>
              <a:srgbClr val="2E578C"/>
            </a:solidFill>
            <a:ln w="12700" cap="flat">
              <a:noFill/>
              <a:miter lim="400000"/>
            </a:ln>
            <a:effectLst/>
          </c:spPr>
          <c:explosion val="0"/>
          <c:dPt>
            <c:idx val="0"/>
            <c:explosion val="0"/>
            <c:spPr>
              <a:solidFill>
                <a:srgbClr val="2E578C"/>
              </a:solidFill>
              <a:ln w="12700" cap="flat">
                <a:noFill/>
                <a:miter lim="400000"/>
              </a:ln>
              <a:effectLst/>
            </c:spPr>
          </c:dPt>
          <c:dPt>
            <c:idx val="1"/>
            <c:explosion val="0"/>
            <c:spPr>
              <a:solidFill>
                <a:srgbClr val="5D9648"/>
              </a:solidFill>
              <a:ln w="12700" cap="flat">
                <a:noFill/>
                <a:miter lim="400000"/>
              </a:ln>
              <a:effectLst/>
            </c:spPr>
          </c:dPt>
          <c:dPt>
            <c:idx val="2"/>
            <c:explosion val="0"/>
            <c:spPr>
              <a:solidFill>
                <a:srgbClr val="E7A13D"/>
              </a:solidFill>
              <a:ln w="12700" cap="flat">
                <a:noFill/>
                <a:miter lim="400000"/>
              </a:ln>
              <a:effectLst/>
            </c:spPr>
          </c:dPt>
          <c:dLbls>
            <c:dLbl>
              <c:idx val="0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FFFFFF"/>
                      </a:solidFill>
                      <a:latin typeface="Helvetica Neue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FFFFFF"/>
                      </a:solidFill>
                      <a:latin typeface="Helvetica Neue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FFFFFF"/>
                      </a:solidFill>
                      <a:latin typeface="Helvetica Neue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numFmt formatCode="#,##0%" sourceLinked="0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noFill/>
                <a:ln w="6350" cap="flat">
                  <a:solidFill>
                    <a:srgbClr val="000000"/>
                  </a:solidFill>
                  <a:prstDash val="solid"/>
                  <a:miter lim="400000"/>
                </a:ln>
                <a:effectLst/>
              </c:spPr>
            </c:leaderLines>
          </c:dLbls>
          <c:cat>
            <c:strLit>
              <c:ptCount val="3"/>
              <c:pt idx="0">
                <c:v>Tech</c:v>
              </c:pt>
              <c:pt idx="1">
                <c:v>Energy</c:v>
              </c:pt>
              <c:pt idx="2">
                <c:v>Retail</c:v>
              </c:pt>
            </c:strLit>
          </c:cat>
          <c:val>
            <c:numRef>
              <c:f>'Dashboard'!$F$5:$F$7</c:f>
              <c:numCache>
                <c:ptCount val="3"/>
                <c:pt idx="0">
                  <c:v>12685257.403923</c:v>
                </c:pt>
                <c:pt idx="1">
                  <c:v>20650336.083427</c:v>
                </c:pt>
                <c:pt idx="2">
                  <c:v>26098071.423964</c:v>
                </c:pt>
              </c:numCache>
            </c:numRef>
          </c:val>
        </c:ser>
        <c:firstSliceAng val="0"/>
      </c:pieChart>
      <c:spPr>
        <a:noFill/>
        <a:ln w="12700" cap="flat">
          <a:noFill/>
          <a:miter lim="400000"/>
        </a:ln>
        <a:effectLst/>
      </c:spPr>
    </c:plotArea>
    <c:legend>
      <c:legendPos val="t"/>
      <c:layout>
        <c:manualLayout>
          <c:xMode val="edge"/>
          <c:yMode val="edge"/>
          <c:x val="0"/>
          <c:y val="0"/>
          <c:w val="1"/>
          <c:h val="0.0640667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Helvetica Neue"/>
            </a:defRPr>
          </a:pPr>
        </a:p>
      </c:txPr>
    </c:legend>
    <c:plotVisOnly val="1"/>
    <c:dispBlanksAs val="gap"/>
  </c:chart>
  <c:spPr>
    <a:noFill/>
    <a:ln>
      <a:noFill/>
    </a:ln>
    <a:effectLst/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135256"/>
          <c:y val="0.124613"/>
          <c:w val="0.729489"/>
          <c:h val="0.862887"/>
        </c:manualLayout>
      </c:layout>
      <c:pieChart>
        <c:varyColors val="0"/>
        <c:ser>
          <c:idx val="0"/>
          <c:order val="0"/>
          <c:tx>
            <c:strRef>
              <c:f>'Dashboard'!$H$5:$H$8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2E578C"/>
            </a:solidFill>
            <a:ln w="12700" cap="flat">
              <a:noFill/>
              <a:miter lim="400000"/>
            </a:ln>
            <a:effectLst/>
          </c:spPr>
          <c:explosion val="0"/>
          <c:dPt>
            <c:idx val="0"/>
            <c:explosion val="0"/>
            <c:spPr>
              <a:solidFill>
                <a:srgbClr val="2E578C"/>
              </a:solidFill>
              <a:ln w="12700" cap="flat">
                <a:noFill/>
                <a:miter lim="400000"/>
              </a:ln>
              <a:effectLst/>
            </c:spPr>
          </c:dPt>
          <c:dPt>
            <c:idx val="1"/>
            <c:explosion val="0"/>
            <c:spPr>
              <a:solidFill>
                <a:srgbClr val="5D9648"/>
              </a:solidFill>
              <a:ln w="12700" cap="flat">
                <a:noFill/>
                <a:miter lim="400000"/>
              </a:ln>
              <a:effectLst/>
            </c:spPr>
          </c:dPt>
          <c:dPt>
            <c:idx val="2"/>
            <c:explosion val="0"/>
            <c:spPr>
              <a:solidFill>
                <a:srgbClr val="E7A13D"/>
              </a:solidFill>
              <a:ln w="12700" cap="flat">
                <a:noFill/>
                <a:miter lim="400000"/>
              </a:ln>
              <a:effectLst/>
            </c:spPr>
          </c:dPt>
          <c:dPt>
            <c:idx val="3"/>
            <c:explosion val="0"/>
            <c:spPr>
              <a:solidFill>
                <a:srgbClr val="BC2D30"/>
              </a:solidFill>
              <a:ln w="12700" cap="flat">
                <a:noFill/>
                <a:miter lim="400000"/>
              </a:ln>
              <a:effectLst/>
            </c:spPr>
          </c:dPt>
          <c:dLbls>
            <c:dLbl>
              <c:idx val="0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FFFFFF"/>
                      </a:solidFill>
                      <a:latin typeface="Helvetica Neue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FFFFFF"/>
                      </a:solidFill>
                      <a:latin typeface="Helvetica Neue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FFFFFF"/>
                      </a:solidFill>
                      <a:latin typeface="Helvetica Neue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3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FFFFFF"/>
                      </a:solidFill>
                      <a:latin typeface="Helvetica Neue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numFmt formatCode="#,##0%" sourceLinked="0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noFill/>
                <a:ln w="6350" cap="flat">
                  <a:solidFill>
                    <a:srgbClr val="000000"/>
                  </a:solidFill>
                  <a:prstDash val="solid"/>
                  <a:miter lim="400000"/>
                </a:ln>
                <a:effectLst/>
              </c:spPr>
            </c:leaderLines>
          </c:dLbls>
          <c:cat>
            <c:strRef>
              <c:f>'Dashboard'!$H$5:$H$8</c:f>
              <c:strCache>
                <c:ptCount val="4"/>
                <c:pt idx="0">
                  <c:v>A:</c:v>
                </c:pt>
                <c:pt idx="1">
                  <c:v>BBB:</c:v>
                </c:pt>
                <c:pt idx="2">
                  <c:v>BB:</c:v>
                </c:pt>
                <c:pt idx="3">
                  <c:v>B:</c:v>
                </c:pt>
              </c:strCache>
            </c:strRef>
          </c:cat>
          <c:val>
            <c:numRef>
              <c:f>'Dashboard'!$I$5:$I$8</c:f>
              <c:numCache>
                <c:ptCount val="4"/>
                <c:pt idx="0">
                  <c:v>3975860.614439</c:v>
                </c:pt>
                <c:pt idx="1">
                  <c:v>7990574.049378</c:v>
                </c:pt>
                <c:pt idx="2">
                  <c:v>15272949.166467</c:v>
                </c:pt>
                <c:pt idx="3">
                  <c:v>32194281.081031</c:v>
                </c:pt>
              </c:numCache>
            </c:numRef>
          </c:val>
        </c:ser>
        <c:firstSliceAng val="0"/>
      </c:pieChart>
      <c:spPr>
        <a:noFill/>
        <a:ln w="12700" cap="flat">
          <a:noFill/>
          <a:miter lim="400000"/>
        </a:ln>
        <a:effectLst/>
      </c:spPr>
    </c:plotArea>
    <c:legend>
      <c:legendPos val="t"/>
      <c:layout>
        <c:manualLayout>
          <c:xMode val="edge"/>
          <c:yMode val="edge"/>
          <c:x val="0"/>
          <c:y val="0"/>
          <c:w val="1"/>
          <c:h val="0.0640667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Helvetica Neue"/>
            </a:defRPr>
          </a:pPr>
        </a:p>
      </c:txPr>
    </c:legend>
    <c:plotVisOnly val="1"/>
    <c:dispBlanksAs val="gap"/>
  </c:chart>
  <c:spPr>
    <a:noFill/>
    <a:ln>
      <a:noFill/>
    </a:ln>
    <a:effectLst/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1</xdr:col>
      <xdr:colOff>0</xdr:colOff>
      <xdr:row>11</xdr:row>
      <xdr:rowOff>132547</xdr:rowOff>
    </xdr:from>
    <xdr:to>
      <xdr:col>4</xdr:col>
      <xdr:colOff>838200</xdr:colOff>
      <xdr:row>29</xdr:row>
      <xdr:rowOff>62868</xdr:rowOff>
    </xdr:to>
    <xdr:grpSp>
      <xdr:nvGrpSpPr>
        <xdr:cNvPr id="4" name="Gruppieren"/>
        <xdr:cNvGrpSpPr/>
      </xdr:nvGrpSpPr>
      <xdr:grpSpPr>
        <a:xfrm>
          <a:off x="1244600" y="3163402"/>
          <a:ext cx="4572000" cy="4479462"/>
          <a:chOff x="-618388" y="-474776"/>
          <a:chExt cx="4572000" cy="4479460"/>
        </a:xfrm>
      </xdr:grpSpPr>
      <xdr:graphicFrame>
        <xdr:nvGraphicFramePr>
          <xdr:cNvPr id="2" name="2D-Kreisdiagramm"/>
          <xdr:cNvGraphicFramePr/>
        </xdr:nvGraphicFramePr>
        <xdr:xfrm>
          <a:off x="-618389" y="-474777"/>
          <a:ext cx="4572001" cy="3810001"/>
        </xdr:xfrm>
        <a:graphic xmlns:a="http://schemas.openxmlformats.org/drawingml/2006/main">
          <a:graphicData uri="http://schemas.openxmlformats.org/drawingml/2006/chart">
            <c:chart xmlns:c="http://schemas.openxmlformats.org/drawingml/2006/chart" r:id="rId1"/>
          </a:graphicData>
        </a:graphic>
      </xdr:graphicFrame>
      <xdr:sp>
        <xdr:nvSpPr>
          <xdr:cNvPr id="3" name="Caption"/>
          <xdr:cNvSpPr/>
        </xdr:nvSpPr>
        <xdr:spPr>
          <a:xfrm>
            <a:off x="-19050" y="3397204"/>
            <a:ext cx="3373324" cy="607480"/>
          </a:xfrm>
          <a:prstGeom prst="roundRect">
            <a:avLst>
              <a:gd name="adj" fmla="val 0"/>
            </a:avLst>
          </a:prstGeom>
          <a:solidFill>
            <a:srgbClr val="000000">
              <a:alpha val="0"/>
            </a:srgbClr>
          </a:solidFill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50800" tIns="50800" rIns="50800" bIns="50800" numCol="1" anchor="t">
            <a:noAutofit/>
          </a:bodyPr>
          <a:lstStyle/>
          <a:p>
            <a:pPr marL="0" marR="0" indent="0" algn="ctr" defTabSz="4572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1" baseline="0" cap="none" i="0" spc="0" strike="noStrike" sz="1400" u="none">
                <a:solidFill>
                  <a:srgbClr val="000000"/>
                </a:solidFill>
                <a:uFillTx/>
                <a:latin typeface="+mn-lt"/>
                <a:ea typeface="+mn-ea"/>
                <a:cs typeface="+mn-cs"/>
                <a:sym typeface="Helvetica Neue"/>
              </a:defRPr>
            </a:pPr>
            <a:r>
              <a:rPr b="1" baseline="0" cap="none" i="0" spc="0" strike="noStrike" sz="1400" u="none">
                <a:solidFill>
                  <a:srgbClr val="000000"/>
                </a:solidFill>
                <a:uFillTx/>
                <a:latin typeface="+mn-lt"/>
                <a:ea typeface="+mn-ea"/>
                <a:cs typeface="+mn-cs"/>
                <a:sym typeface="Helvetica Neue"/>
              </a:rPr>
              <a:t>ECL per branche</a:t>
            </a:r>
            <a:endParaRPr b="1" baseline="0" cap="none" i="0" spc="0" strike="noStrike" sz="14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endParaRPr>
          </a:p>
        </xdr:txBody>
      </xdr:sp>
    </xdr:grpSp>
    <xdr:clientData/>
  </xdr:twoCellAnchor>
  <xdr:twoCellAnchor>
    <xdr:from>
      <xdr:col>5</xdr:col>
      <xdr:colOff>626211</xdr:colOff>
      <xdr:row>11</xdr:row>
      <xdr:rowOff>132547</xdr:rowOff>
    </xdr:from>
    <xdr:to>
      <xdr:col>9</xdr:col>
      <xdr:colOff>219811</xdr:colOff>
      <xdr:row>28</xdr:row>
      <xdr:rowOff>83505</xdr:rowOff>
    </xdr:to>
    <xdr:grpSp>
      <xdr:nvGrpSpPr>
        <xdr:cNvPr id="7" name="Gruppieren"/>
        <xdr:cNvGrpSpPr/>
      </xdr:nvGrpSpPr>
      <xdr:grpSpPr>
        <a:xfrm>
          <a:off x="6849211" y="3163402"/>
          <a:ext cx="4572001" cy="4247369"/>
          <a:chOff x="-618388" y="-474776"/>
          <a:chExt cx="4572000" cy="4247368"/>
        </a:xfrm>
      </xdr:grpSpPr>
      <xdr:graphicFrame>
        <xdr:nvGraphicFramePr>
          <xdr:cNvPr id="5" name="2D-Kreisdiagramm"/>
          <xdr:cNvGraphicFramePr/>
        </xdr:nvGraphicFramePr>
        <xdr:xfrm>
          <a:off x="-618389" y="-474777"/>
          <a:ext cx="4572001" cy="3810001"/>
        </xdr:xfrm>
        <a:graphic xmlns:a="http://schemas.openxmlformats.org/drawingml/2006/main">
          <a:graphicData uri="http://schemas.openxmlformats.org/drawingml/2006/chart">
            <c:chart xmlns:c="http://schemas.openxmlformats.org/drawingml/2006/chart" r:id="rId2"/>
          </a:graphicData>
        </a:graphic>
      </xdr:graphicFrame>
      <xdr:sp>
        <xdr:nvSpPr>
          <xdr:cNvPr id="6" name="Caption"/>
          <xdr:cNvSpPr/>
        </xdr:nvSpPr>
        <xdr:spPr>
          <a:xfrm>
            <a:off x="-19050" y="3413397"/>
            <a:ext cx="3373324" cy="359195"/>
          </a:xfrm>
          <a:prstGeom prst="roundRect">
            <a:avLst>
              <a:gd name="adj" fmla="val 0"/>
            </a:avLst>
          </a:prstGeom>
          <a:solidFill>
            <a:srgbClr val="000000">
              <a:alpha val="0"/>
            </a:srgbClr>
          </a:solidFill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50800" tIns="50800" rIns="50800" bIns="50800" numCol="1" anchor="t">
            <a:noAutofit/>
          </a:bodyPr>
          <a:lstStyle/>
          <a:p>
            <a:pPr marL="0" marR="0" indent="0" algn="ctr" defTabSz="4572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1" baseline="0" cap="none" i="0" spc="0" strike="noStrike" sz="1400" u="none">
                <a:solidFill>
                  <a:srgbClr val="000000"/>
                </a:solidFill>
                <a:uFillTx/>
                <a:latin typeface="+mn-lt"/>
                <a:ea typeface="+mn-ea"/>
                <a:cs typeface="+mn-cs"/>
                <a:sym typeface="Helvetica Neue"/>
              </a:defRPr>
            </a:pPr>
            <a:r>
              <a:rPr b="1" baseline="0" cap="none" i="0" spc="0" strike="noStrike" sz="1400" u="none">
                <a:solidFill>
                  <a:srgbClr val="000000"/>
                </a:solidFill>
                <a:uFillTx/>
                <a:latin typeface="+mn-lt"/>
                <a:ea typeface="+mn-ea"/>
                <a:cs typeface="+mn-cs"/>
                <a:sym typeface="Helvetica Neue"/>
              </a:rPr>
              <a:t>ECL per Rating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J9"/>
  <sheetViews>
    <sheetView workbookViewId="0" showGridLines="0" defaultGridColor="1"/>
  </sheetViews>
  <sheetFormatPr defaultColWidth="16.3333" defaultRowHeight="19.9" customHeight="1" outlineLevelRow="0" outlineLevelCol="0"/>
  <cols>
    <col min="1" max="10" width="16.3516" style="1" customWidth="1"/>
    <col min="11" max="16384" width="16.3516" style="1" customWidth="1"/>
  </cols>
  <sheetData>
    <row r="1" ht="35.3" customHeight="1">
      <c r="A1" s="2"/>
      <c r="B1" s="3"/>
      <c r="C1" t="s" s="4">
        <v>0</v>
      </c>
      <c r="D1" s="3"/>
      <c r="E1" s="3"/>
      <c r="F1" s="3"/>
      <c r="G1" s="3"/>
      <c r="H1" s="3"/>
      <c r="I1" s="3"/>
      <c r="J1" s="5"/>
    </row>
    <row r="2" ht="19.7" customHeight="1">
      <c r="A2" s="6"/>
      <c r="B2" s="7"/>
      <c r="C2" s="7"/>
      <c r="D2" s="7"/>
      <c r="E2" s="7"/>
      <c r="F2" s="7"/>
      <c r="G2" s="7"/>
      <c r="H2" s="7"/>
      <c r="I2" s="8"/>
      <c r="J2" s="9"/>
    </row>
    <row r="3" ht="20.2" customHeight="1">
      <c r="A3" s="6"/>
      <c r="B3" s="10"/>
      <c r="C3" s="10"/>
      <c r="D3" s="7"/>
      <c r="E3" s="10"/>
      <c r="F3" s="10"/>
      <c r="G3" s="7"/>
      <c r="H3" s="10"/>
      <c r="I3" s="11"/>
      <c r="J3" s="9"/>
    </row>
    <row r="4" ht="22.3" customHeight="1">
      <c r="A4" s="12"/>
      <c r="B4" t="s" s="13">
        <v>1</v>
      </c>
      <c r="C4" s="14"/>
      <c r="D4" s="15"/>
      <c r="E4" t="s" s="16">
        <v>2</v>
      </c>
      <c r="F4" s="17"/>
      <c r="G4" s="15"/>
      <c r="H4" t="s" s="18">
        <v>3</v>
      </c>
      <c r="I4" s="14"/>
      <c r="J4" s="19"/>
    </row>
    <row r="5" ht="20.05" customHeight="1">
      <c r="A5" s="12"/>
      <c r="B5" t="s" s="20">
        <v>4</v>
      </c>
      <c r="C5" s="21" cm="1">
        <f t="array" ref="C5">'Credit_Portfolio'!T4</f>
        <v>59433664.9113146</v>
      </c>
      <c r="D5" s="15"/>
      <c r="E5" t="s" s="22">
        <v>5</v>
      </c>
      <c r="F5" s="23" cm="1">
        <f t="array" ref="F5">SUMIF('Credit_Portfolio'!D4:D84,'Credit_Portfolio'!$X$4,'Credit_Portfolio'!R4:R84)</f>
        <v>12685257.4039233</v>
      </c>
      <c r="G5" s="15"/>
      <c r="H5" t="s" s="24">
        <v>6</v>
      </c>
      <c r="I5" s="25" cm="1">
        <f t="array" ref="I5">SUMIF('Credit_Portfolio'!C4:C84,'Credit_Portfolio'!$W$4,'Credit_Portfolio'!R4:R84)</f>
        <v>3975860.6144387</v>
      </c>
      <c r="J5" s="19"/>
    </row>
    <row r="6" ht="20.05" customHeight="1">
      <c r="A6" s="12"/>
      <c r="B6" t="s" s="26">
        <v>7</v>
      </c>
      <c r="C6" s="27" cm="1">
        <f t="array" ref="C6">SUM('Credit_Portfolio'!E4:E84)</f>
        <v>1470169000</v>
      </c>
      <c r="D6" s="15"/>
      <c r="E6" t="s" s="24">
        <v>8</v>
      </c>
      <c r="F6" s="25" cm="1">
        <f t="array" ref="F6">SUMIF('Credit_Portfolio'!D4:D84,'Credit_Portfolio'!$X$5,'Credit_Portfolio'!R4:R84)</f>
        <v>20650336.083427</v>
      </c>
      <c r="G6" s="15"/>
      <c r="H6" t="s" s="24">
        <v>9</v>
      </c>
      <c r="I6" s="25" cm="1">
        <f t="array" ref="I6">SUMIF('Credit_Portfolio'!C4:C84,'Credit_Portfolio'!W5,'Credit_Portfolio'!R4:R84)</f>
        <v>7990574.04937798</v>
      </c>
      <c r="J6" s="19"/>
    </row>
    <row r="7" ht="20.35" customHeight="1">
      <c r="A7" s="12"/>
      <c r="B7" t="s" s="26">
        <v>10</v>
      </c>
      <c r="C7" s="28" cm="1">
        <f t="array" ref="C7">C5/C6</f>
        <v>0.0404264169026245</v>
      </c>
      <c r="D7" s="15"/>
      <c r="E7" t="s" s="29">
        <v>11</v>
      </c>
      <c r="F7" s="30" cm="1">
        <f t="array" ref="F7">SUMIF('Credit_Portfolio'!D4:D84,'Credit_Portfolio'!$X$6,'Credit_Portfolio'!R4:R84)</f>
        <v>26098071.4239642</v>
      </c>
      <c r="G7" s="15"/>
      <c r="H7" t="s" s="24">
        <v>12</v>
      </c>
      <c r="I7" s="25" cm="1">
        <f t="array" ref="I7">SUMIF('Credit_Portfolio'!C4:C84,'Credit_Portfolio'!W6,'Credit_Portfolio'!R4:R84)</f>
        <v>15272949.1664672</v>
      </c>
      <c r="J7" s="31"/>
    </row>
    <row r="8" ht="20.7" customHeight="1">
      <c r="A8" s="12"/>
      <c r="B8" t="s" s="32">
        <v>13</v>
      </c>
      <c r="C8" s="33" cm="1">
        <f t="array" ref="C8">AVERAGE('Credit_Portfolio'!I4:I84)</f>
        <v>0.0295833333333333</v>
      </c>
      <c r="D8" s="34"/>
      <c r="E8" s="35"/>
      <c r="F8" s="35"/>
      <c r="G8" s="36"/>
      <c r="H8" t="s" s="29">
        <v>14</v>
      </c>
      <c r="I8" s="30" cm="1">
        <f t="array" ref="I8">SUMIF('Credit_Portfolio'!C4:C84,'Credit_Portfolio'!W7,'Credit_Portfolio'!R4:R84)</f>
        <v>32194281.0810307</v>
      </c>
      <c r="J8" s="37"/>
    </row>
    <row r="9" ht="20.2" customHeight="1">
      <c r="A9" s="38"/>
      <c r="B9" s="39"/>
      <c r="C9" s="39"/>
      <c r="D9" s="40"/>
      <c r="E9" s="40"/>
      <c r="F9" s="40"/>
      <c r="G9" s="40"/>
      <c r="H9" s="39"/>
      <c r="I9" s="39"/>
      <c r="J9" s="41"/>
    </row>
  </sheetData>
  <mergeCells count="4">
    <mergeCell ref="B4:C4"/>
    <mergeCell ref="E4:F4"/>
    <mergeCell ref="H4:I4"/>
    <mergeCell ref="C1:H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X84"/>
  <sheetViews>
    <sheetView workbookViewId="0" showGridLines="0" defaultGridColor="1">
      <pane topLeftCell="A4" xSplit="0" ySplit="3" activePane="bottomLeft" state="frozen"/>
    </sheetView>
  </sheetViews>
  <sheetFormatPr defaultColWidth="16.3333" defaultRowHeight="19.9" customHeight="1" outlineLevelRow="0" outlineLevelCol="0"/>
  <cols>
    <col min="1" max="12" width="16.3516" style="42" customWidth="1"/>
    <col min="13" max="13" width="19.3672" style="42" customWidth="1"/>
    <col min="14" max="15" width="16.3516" style="42" customWidth="1"/>
    <col min="16" max="16" width="17.8984" style="42" customWidth="1"/>
    <col min="17" max="24" width="16.3516" style="42" customWidth="1"/>
    <col min="25" max="16384" width="16.3516" style="42" customWidth="1"/>
  </cols>
  <sheetData>
    <row r="1" ht="20.05" customHeight="1">
      <c r="A1" s="43"/>
      <c r="B1" s="43"/>
      <c r="C1" s="43"/>
      <c r="D1" s="43"/>
      <c r="E1" s="44"/>
      <c r="F1" s="43"/>
      <c r="G1" s="43"/>
      <c r="H1" s="43"/>
      <c r="I1" s="43"/>
      <c r="J1" s="43"/>
      <c r="K1" s="44"/>
      <c r="L1" s="43"/>
      <c r="M1" s="43"/>
      <c r="N1" s="44"/>
      <c r="O1" s="43"/>
      <c r="P1" s="43"/>
      <c r="Q1" s="44"/>
      <c r="R1" s="44"/>
      <c r="S1" s="43"/>
      <c r="T1" s="43"/>
      <c r="U1" s="43"/>
      <c r="V1" s="43"/>
      <c r="W1" s="43"/>
      <c r="X1" s="43"/>
    </row>
    <row r="2" ht="20.85" customHeight="1">
      <c r="A2" s="43"/>
      <c r="B2" s="45"/>
      <c r="C2" s="45"/>
      <c r="D2" s="45"/>
      <c r="E2" s="46"/>
      <c r="F2" s="45"/>
      <c r="G2" s="45"/>
      <c r="H2" s="45"/>
      <c r="I2" s="45"/>
      <c r="J2" s="45"/>
      <c r="K2" s="46"/>
      <c r="L2" s="45"/>
      <c r="M2" s="45"/>
      <c r="N2" s="46"/>
      <c r="O2" s="45"/>
      <c r="P2" s="45"/>
      <c r="Q2" s="46"/>
      <c r="R2" s="46"/>
      <c r="S2" s="43"/>
      <c r="T2" s="47"/>
      <c r="U2" s="43"/>
      <c r="V2" s="43"/>
      <c r="W2" s="48"/>
      <c r="X2" s="48"/>
    </row>
    <row r="3" ht="21.05" customHeight="1">
      <c r="A3" s="49"/>
      <c r="B3" t="s" s="50">
        <v>15</v>
      </c>
      <c r="C3" t="s" s="51">
        <v>16</v>
      </c>
      <c r="D3" t="s" s="51">
        <v>17</v>
      </c>
      <c r="E3" t="s" s="51">
        <v>18</v>
      </c>
      <c r="F3" t="s" s="51">
        <v>19</v>
      </c>
      <c r="G3" t="s" s="52">
        <v>20</v>
      </c>
      <c r="H3" t="s" s="53">
        <v>21</v>
      </c>
      <c r="I3" t="s" s="53">
        <v>22</v>
      </c>
      <c r="J3" t="s" s="53">
        <v>23</v>
      </c>
      <c r="K3" t="s" s="54">
        <v>24</v>
      </c>
      <c r="L3" t="s" s="53">
        <v>25</v>
      </c>
      <c r="M3" t="s" s="53">
        <v>26</v>
      </c>
      <c r="N3" t="s" s="54">
        <v>27</v>
      </c>
      <c r="O3" t="s" s="53">
        <v>28</v>
      </c>
      <c r="P3" t="s" s="53">
        <v>29</v>
      </c>
      <c r="Q3" t="s" s="54">
        <v>30</v>
      </c>
      <c r="R3" t="s" s="55">
        <v>31</v>
      </c>
      <c r="S3" s="56"/>
      <c r="T3" t="s" s="57">
        <v>32</v>
      </c>
      <c r="U3" s="58"/>
      <c r="V3" s="59"/>
      <c r="W3" t="s" s="60">
        <v>33</v>
      </c>
      <c r="X3" t="s" s="60">
        <v>34</v>
      </c>
    </row>
    <row r="4" ht="23.35" customHeight="1">
      <c r="A4" s="61"/>
      <c r="B4" t="s" s="62">
        <v>35</v>
      </c>
      <c r="C4" t="str" s="63" cm="1">
        <f t="array" ref="C4">INDEX($W$4:$W$7,RANDBETWEEN(1,4))</f>
        <v>BB</v>
      </c>
      <c r="D4" t="str" s="63" cm="1">
        <f t="array" ref="D4">INDEX($X$4:$X$6,RANDBETWEEN(1,3))</f>
        <v>Tech</v>
      </c>
      <c r="E4" s="64" cm="1">
        <f t="array" ref="E4">MROUND(RANDBETWEEN(5000,50000000),1000)</f>
        <v>2834000</v>
      </c>
      <c r="F4" s="65" cm="1">
        <f t="array" ref="F4">RANDBETWEEN(1,6)</f>
        <v>5</v>
      </c>
      <c r="G4" s="66" cm="1">
        <f t="array" ref="G4">IF(OR(,C3="A",C3="BBB"),1,2)</f>
        <v>2</v>
      </c>
      <c r="H4" s="67" cm="1">
        <f t="array" ref="H4">_xlfn.XLOOKUP(D4,'R_P'!$E$2:$E$4,'R_P'!$G$2:$G$4)</f>
        <v>0.3</v>
      </c>
      <c r="I4" s="68" cm="1">
        <f t="array" ref="I4">_xlfn.XLOOKUP(C4,'R_P'!$B$2:$B$5,'R_P'!$C$2:$C$5)</f>
        <v>0.04</v>
      </c>
      <c r="J4" s="69" cm="1">
        <f t="array" ref="J4">1-(1-I4)^F4</f>
        <v>0.1846273024</v>
      </c>
      <c r="K4" s="70" cm="1">
        <f t="array" ref="K4">IF(G4=1,I4*H4*E4,J4*H4*E4)</f>
        <v>156970.13250048</v>
      </c>
      <c r="L4" s="68" cm="1">
        <f t="array" ref="L4">I4*'R_P'!$J$3</f>
        <v>0.06</v>
      </c>
      <c r="M4" s="69" cm="1">
        <f t="array" ref="M4">1-(1-L4)^F4</f>
        <v>0.2660959776</v>
      </c>
      <c r="N4" s="70" cm="1">
        <f t="array" ref="N4">IF(G4=1,L4*H4*E4,M4*H4*E4)</f>
        <v>226234.80015552</v>
      </c>
      <c r="O4" s="67" cm="1">
        <f t="array" ref="O4">L4*'R_P'!$J$4</f>
        <v>0.132</v>
      </c>
      <c r="P4" s="69" cm="1">
        <f t="array" ref="P4">1-(1-O4)^F4</f>
        <v>0.5072817757624321</v>
      </c>
      <c r="Q4" s="70" cm="1">
        <f t="array" ref="Q4">IF(G4=1,O4*E4*H4,P4*E4*H4)</f>
        <v>431290.96575322</v>
      </c>
      <c r="R4" s="71" cm="1">
        <f t="array" ref="R4">K4*'R_P'!$K$2+N4*'R_P'!$K$3+Q4*'R_P'!$K$4</f>
        <v>205181.616122266</v>
      </c>
      <c r="S4" s="72"/>
      <c r="T4" s="73" cm="1">
        <f t="array" ref="T4">SUM(R4:R84)</f>
        <v>59433664.9113146</v>
      </c>
      <c r="U4" s="74"/>
      <c r="V4" s="75"/>
      <c r="W4" t="s" s="76">
        <v>38</v>
      </c>
      <c r="X4" t="s" s="76">
        <v>37</v>
      </c>
    </row>
    <row r="5" ht="23.15" customHeight="1">
      <c r="A5" s="77"/>
      <c r="B5" t="s" s="78">
        <v>39</v>
      </c>
      <c r="C5" t="str" s="79" cm="1">
        <f t="array" ref="C5">INDEX($W$4:$W$7,RANDBETWEEN(1,4))</f>
        <v>BBB</v>
      </c>
      <c r="D5" t="str" s="79" cm="1">
        <f t="array" ref="D5">INDEX($X$4:$X$6,RANDBETWEEN(1,3))</f>
        <v>Energy</v>
      </c>
      <c r="E5" s="80" cm="1">
        <f t="array" ref="E5">MROUND(RANDBETWEEN(5000,50000000),1000)</f>
        <v>5214000</v>
      </c>
      <c r="F5" s="81" cm="1">
        <f t="array" ref="F5">RANDBETWEEN(1,6)</f>
        <v>3</v>
      </c>
      <c r="G5" s="81" cm="1">
        <f t="array" ref="G5">IF(OR(,C4="A",C4="BBB"),1,2)</f>
        <v>2</v>
      </c>
      <c r="H5" s="82" cm="1">
        <f t="array" ref="H5">_xlfn.XLOOKUP(D5,'R_P'!$E$2:$E$4,'R_P'!$G$2:$G$4)</f>
        <v>0.5</v>
      </c>
      <c r="I5" s="82" cm="1">
        <f t="array" ref="I5">_xlfn.XLOOKUP(C5,'R_P'!$B$2:$B$5,'R_P'!$C$2:$C$5)</f>
        <v>0.015</v>
      </c>
      <c r="J5" s="83" cm="1">
        <f t="array" ref="J5">1-(1-I5)^F5</f>
        <v>0.0443283750000001</v>
      </c>
      <c r="K5" s="84" cm="1">
        <f t="array" ref="K5">IF(G5=1,I5*H5*E5,J5*H5*E5)</f>
        <v>115564.073625</v>
      </c>
      <c r="L5" s="85" cm="1">
        <f t="array" ref="L5">I5*'R_P'!$J$3</f>
        <v>0.0225</v>
      </c>
      <c r="M5" s="83" cm="1">
        <f t="array" ref="M5">1-(1-L5)^F5</f>
        <v>0.0659926406249999</v>
      </c>
      <c r="N5" s="84" cm="1">
        <f t="array" ref="N5">IF(G5=1,L5*H5*E5,M5*H5*E5)</f>
        <v>172042.814109375</v>
      </c>
      <c r="O5" s="85" cm="1">
        <f t="array" ref="O5">L5*'R_P'!$J$4</f>
        <v>0.0495</v>
      </c>
      <c r="P5" s="83" cm="1">
        <f t="array" ref="P5">1-(1-O5)^F5</f>
        <v>0.141270537375</v>
      </c>
      <c r="Q5" s="84" cm="1">
        <f t="array" ref="Q5">IF(G5=1,O5*E5*H5,P5*E5*H5)</f>
        <v>368292.290936625</v>
      </c>
      <c r="R5" s="86" cm="1">
        <f t="array" ref="R5">K5*'R_P'!$K$2+N5*'R_P'!$K$3+Q5*'R_P'!$K$4</f>
        <v>157780.517501475</v>
      </c>
      <c r="S5" s="87"/>
      <c r="T5" s="88"/>
      <c r="U5" s="79"/>
      <c r="V5" s="89"/>
      <c r="W5" t="s" s="90">
        <v>40</v>
      </c>
      <c r="X5" t="s" s="90">
        <v>41</v>
      </c>
    </row>
    <row r="6" ht="22.65" customHeight="1">
      <c r="A6" s="77"/>
      <c r="B6" t="s" s="78">
        <v>42</v>
      </c>
      <c r="C6" t="str" s="79" cm="1">
        <f t="array" ref="C6">INDEX($W$4:$W$7,RANDBETWEEN(1,4))</f>
        <v>A</v>
      </c>
      <c r="D6" t="str" s="79" cm="1">
        <f t="array" ref="D6">INDEX($X$4:$X$6,RANDBETWEEN(1,3))</f>
        <v>Retail</v>
      </c>
      <c r="E6" s="80" cm="1">
        <f t="array" ref="E6">MROUND(RANDBETWEEN(5000,50000000),1000)</f>
        <v>17414000</v>
      </c>
      <c r="F6" s="81" cm="1">
        <f t="array" ref="F6">RANDBETWEEN(1,6)</f>
        <v>5</v>
      </c>
      <c r="G6" s="81" cm="1">
        <f t="array" ref="G6">IF(OR(,C5="A",C5="BBB"),1,2)</f>
        <v>1</v>
      </c>
      <c r="H6" s="91" cm="1">
        <f t="array" ref="H6">_xlfn.XLOOKUP(D6,'R_P'!$E$2:$E$4,'R_P'!$G$2:$G$4)</f>
        <v>1</v>
      </c>
      <c r="I6" s="82" cm="1">
        <f t="array" ref="I6">_xlfn.XLOOKUP(C6,'R_P'!$B$2:$B$5,'R_P'!$C$2:$C$5)</f>
        <v>0.005</v>
      </c>
      <c r="J6" s="83" cm="1">
        <f t="array" ref="J6">1-(1-I6)^F6</f>
        <v>0.024751246878125</v>
      </c>
      <c r="K6" s="84" cm="1">
        <f t="array" ref="K6">IF(G6=1,I6*H6*E6,J6*H6*E6)</f>
        <v>87070</v>
      </c>
      <c r="L6" s="85" cm="1">
        <f t="array" ref="L6">I6*'R_P'!$J$3</f>
        <v>0.0075</v>
      </c>
      <c r="M6" s="83" cm="1">
        <f t="array" ref="M6">1-(1-L6)^F6</f>
        <v>0.0369417029534177</v>
      </c>
      <c r="N6" s="84" cm="1">
        <f t="array" ref="N6">IF(G6=1,L6*H6*E6,M6*H6*E6)</f>
        <v>130605</v>
      </c>
      <c r="O6" s="85" cm="1">
        <f t="array" ref="O6">L6*'R_P'!$J$4</f>
        <v>0.0165</v>
      </c>
      <c r="P6" s="83" cm="1">
        <f t="array" ref="P6">1-(1-O6)^F6</f>
        <v>0.0798220518726683</v>
      </c>
      <c r="Q6" s="84" cm="1">
        <f t="array" ref="Q6">IF(G6=1,O6*E6*H6,P6*E6*H6)</f>
        <v>287331</v>
      </c>
      <c r="R6" s="86" cm="1">
        <f t="array" ref="R6">K6*'R_P'!$K$2+N6*'R_P'!$K$3+Q6*'R_P'!$K$4</f>
        <v>120156.6</v>
      </c>
      <c r="S6" s="87"/>
      <c r="T6" s="79"/>
      <c r="U6" s="79"/>
      <c r="V6" s="89"/>
      <c r="W6" t="s" s="90">
        <v>36</v>
      </c>
      <c r="X6" t="s" s="92">
        <v>43</v>
      </c>
    </row>
    <row r="7" ht="23" customHeight="1">
      <c r="A7" s="77"/>
      <c r="B7" t="s" s="78">
        <v>44</v>
      </c>
      <c r="C7" t="str" s="79" cm="1">
        <f t="array" ref="C7">INDEX($W$4:$W$7,RANDBETWEEN(1,4))</f>
        <v>BB</v>
      </c>
      <c r="D7" t="str" s="79" cm="1">
        <f t="array" ref="D7">INDEX($X$4:$X$6,RANDBETWEEN(1,3))</f>
        <v>Tech</v>
      </c>
      <c r="E7" s="80" cm="1">
        <f t="array" ref="E7">MROUND(RANDBETWEEN(5000,50000000),1000)</f>
        <v>26676000</v>
      </c>
      <c r="F7" s="81" cm="1">
        <f t="array" ref="F7">RANDBETWEEN(1,6)</f>
        <v>3</v>
      </c>
      <c r="G7" s="81" cm="1">
        <f t="array" ref="G7">IF(OR(,C6="A",C6="BBB"),1,2)</f>
        <v>1</v>
      </c>
      <c r="H7" s="82" cm="1">
        <f t="array" ref="H7">_xlfn.XLOOKUP(D7,'R_P'!$E$2:$E$4,'R_P'!$G$2:$G$4)</f>
        <v>0.3</v>
      </c>
      <c r="I7" s="91" cm="1">
        <f t="array" ref="I7">_xlfn.XLOOKUP(C7,'R_P'!$B$2:$B$5,'R_P'!$C$2:$C$5)</f>
        <v>0.04</v>
      </c>
      <c r="J7" s="83" cm="1">
        <f t="array" ref="J7">1-(1-I7)^F7</f>
        <v>0.115264</v>
      </c>
      <c r="K7" s="84" cm="1">
        <f t="array" ref="K7">IF(G7=1,I7*H7*E7,J7*H7*E7)</f>
        <v>320112</v>
      </c>
      <c r="L7" s="91" cm="1">
        <f t="array" ref="L7">I7*'R_P'!$J$3</f>
        <v>0.06</v>
      </c>
      <c r="M7" s="83" cm="1">
        <f t="array" ref="M7">1-(1-L7)^F7</f>
        <v>0.169416</v>
      </c>
      <c r="N7" s="84" cm="1">
        <f t="array" ref="N7">IF(G7=1,L7*H7*E7,M7*H7*E7)</f>
        <v>480168</v>
      </c>
      <c r="O7" s="82" cm="1">
        <f t="array" ref="O7">L7*'R_P'!$J$4</f>
        <v>0.132</v>
      </c>
      <c r="P7" s="83" cm="1">
        <f t="array" ref="P7">1-(1-O7)^F7</f>
        <v>0.346027968</v>
      </c>
      <c r="Q7" s="84" cm="1">
        <f t="array" ref="Q7">IF(G7=1,O7*E7*H7,P7*E7*H7)</f>
        <v>1056369.6</v>
      </c>
      <c r="R7" s="86" cm="1">
        <f t="array" ref="R7">K7*'R_P'!$K$2+N7*'R_P'!$K$3+Q7*'R_P'!$K$4</f>
        <v>441754.56</v>
      </c>
      <c r="S7" s="87"/>
      <c r="T7" s="79"/>
      <c r="U7" s="79"/>
      <c r="V7" s="89"/>
      <c r="W7" t="s" s="92">
        <v>45</v>
      </c>
      <c r="X7" s="93"/>
    </row>
    <row r="8" ht="22.65" customHeight="1">
      <c r="A8" s="77"/>
      <c r="B8" t="s" s="78">
        <v>46</v>
      </c>
      <c r="C8" t="str" s="79" cm="1">
        <f t="array" ref="C8">INDEX($W$4:$W$7,RANDBETWEEN(1,4))</f>
        <v>BB</v>
      </c>
      <c r="D8" t="str" s="79" cm="1">
        <f t="array" ref="D8">INDEX($X$4:$X$6,RANDBETWEEN(1,3))</f>
        <v>Energy</v>
      </c>
      <c r="E8" s="80" cm="1">
        <f t="array" ref="E8">MROUND(RANDBETWEEN(5000,50000000),1000)</f>
        <v>42255000</v>
      </c>
      <c r="F8" s="81" cm="1">
        <f t="array" ref="F8">RANDBETWEEN(1,6)</f>
        <v>3</v>
      </c>
      <c r="G8" s="81" cm="1">
        <f t="array" ref="G8">IF(OR(,C7="A",C7="BBB"),1,2)</f>
        <v>2</v>
      </c>
      <c r="H8" s="82" cm="1">
        <f t="array" ref="H8">_xlfn.XLOOKUP(D8,'R_P'!$E$2:$E$4,'R_P'!$G$2:$G$4)</f>
        <v>0.5</v>
      </c>
      <c r="I8" s="91" cm="1">
        <f t="array" ref="I8">_xlfn.XLOOKUP(C8,'R_P'!$B$2:$B$5,'R_P'!$C$2:$C$5)</f>
        <v>0.04</v>
      </c>
      <c r="J8" s="83" cm="1">
        <f t="array" ref="J8">1-(1-I8)^F8</f>
        <v>0.115264</v>
      </c>
      <c r="K8" s="84" cm="1">
        <f t="array" ref="K8">IF(G8=1,I8*H8*E8,J8*H8*E8)</f>
        <v>2435240.16</v>
      </c>
      <c r="L8" s="91" cm="1">
        <f t="array" ref="L8">I8*'R_P'!$J$3</f>
        <v>0.06</v>
      </c>
      <c r="M8" s="83" cm="1">
        <f t="array" ref="M8">1-(1-L8)^F8</f>
        <v>0.169416</v>
      </c>
      <c r="N8" s="84" cm="1">
        <f t="array" ref="N8">IF(G8=1,L8*H8*E8,M8*H8*E8)</f>
        <v>3579336.54</v>
      </c>
      <c r="O8" s="82" cm="1">
        <f t="array" ref="O8">L8*'R_P'!$J$4</f>
        <v>0.132</v>
      </c>
      <c r="P8" s="83" cm="1">
        <f t="array" ref="P8">1-(1-O8)^F8</f>
        <v>0.346027968</v>
      </c>
      <c r="Q8" s="84" cm="1">
        <f t="array" ref="Q8">IF(G8=1,O8*E8*H8,P8*E8*H8)</f>
        <v>7310705.89392</v>
      </c>
      <c r="R8" s="86" cm="1">
        <f t="array" ref="R8">K8*'R_P'!$K$2+N8*'R_P'!$K$3+Q8*'R_P'!$K$4</f>
        <v>3266015.647392</v>
      </c>
      <c r="S8" s="87"/>
      <c r="T8" s="79"/>
      <c r="U8" s="79"/>
      <c r="V8" s="79"/>
      <c r="W8" s="94"/>
      <c r="X8" s="79"/>
    </row>
    <row r="9" ht="22.35" customHeight="1">
      <c r="A9" s="77"/>
      <c r="B9" t="s" s="78">
        <v>47</v>
      </c>
      <c r="C9" t="str" s="79" cm="1">
        <f t="array" ref="C9">INDEX($W$4:$W$7,RANDBETWEEN(1,4))</f>
        <v>BBB</v>
      </c>
      <c r="D9" t="str" s="79" cm="1">
        <f t="array" ref="D9">INDEX($X$4:$X$6,RANDBETWEEN(1,3))</f>
        <v>Retail</v>
      </c>
      <c r="E9" s="80" cm="1">
        <f t="array" ref="E9">MROUND(RANDBETWEEN(5000,50000000),1000)</f>
        <v>17622000</v>
      </c>
      <c r="F9" s="81" cm="1">
        <f t="array" ref="F9">RANDBETWEEN(1,6)</f>
        <v>1</v>
      </c>
      <c r="G9" s="81" cm="1">
        <f t="array" ref="G9">IF(OR(,C8="A",C8="BBB"),1,2)</f>
        <v>2</v>
      </c>
      <c r="H9" s="91" cm="1">
        <f t="array" ref="H9">_xlfn.XLOOKUP(D9,'R_P'!$E$2:$E$4,'R_P'!$G$2:$G$4)</f>
        <v>1</v>
      </c>
      <c r="I9" s="82" cm="1">
        <f t="array" ref="I9">_xlfn.XLOOKUP(C9,'R_P'!$B$2:$B$5,'R_P'!$C$2:$C$5)</f>
        <v>0.015</v>
      </c>
      <c r="J9" s="83" cm="1">
        <f t="array" ref="J9">1-(1-I9)^F9</f>
        <v>0.015</v>
      </c>
      <c r="K9" s="84" cm="1">
        <f t="array" ref="K9">IF(G9=1,I9*H9*E9,J9*H9*E9)</f>
        <v>264330</v>
      </c>
      <c r="L9" s="85" cm="1">
        <f t="array" ref="L9">I9*'R_P'!$J$3</f>
        <v>0.0225</v>
      </c>
      <c r="M9" s="83" cm="1">
        <f t="array" ref="M9">1-(1-L9)^F9</f>
        <v>0.0225</v>
      </c>
      <c r="N9" s="84" cm="1">
        <f t="array" ref="N9">IF(G9=1,L9*H9*E9,M9*H9*E9)</f>
        <v>396495</v>
      </c>
      <c r="O9" s="85" cm="1">
        <f t="array" ref="O9">L9*'R_P'!$J$4</f>
        <v>0.0495</v>
      </c>
      <c r="P9" s="83" cm="1">
        <f t="array" ref="P9">1-(1-O9)^F9</f>
        <v>0.0495</v>
      </c>
      <c r="Q9" s="84" cm="1">
        <f t="array" ref="Q9">IF(G9=1,O9*E9*H9,P9*E9*H9)</f>
        <v>872289</v>
      </c>
      <c r="R9" s="86" cm="1">
        <f t="array" ref="R9">K9*'R_P'!$K$2+N9*'R_P'!$K$3+Q9*'R_P'!$K$4</f>
        <v>364775.4</v>
      </c>
      <c r="S9" s="87"/>
      <c r="T9" s="79"/>
      <c r="U9" s="79"/>
      <c r="V9" s="79"/>
      <c r="W9" s="79"/>
      <c r="X9" s="79"/>
    </row>
    <row r="10" ht="22.35" customHeight="1">
      <c r="A10" s="77"/>
      <c r="B10" t="s" s="78">
        <v>48</v>
      </c>
      <c r="C10" t="str" s="79" cm="1">
        <f t="array" ref="C10">INDEX($W$4:$W$7,RANDBETWEEN(1,4))</f>
        <v>B</v>
      </c>
      <c r="D10" t="str" s="79" cm="1">
        <f t="array" ref="D10">INDEX($X$4:$X$6,RANDBETWEEN(1,3))</f>
        <v>Tech</v>
      </c>
      <c r="E10" s="80" cm="1">
        <f t="array" ref="E10">MROUND(RANDBETWEEN(5000,50000000),1000)</f>
        <v>47113000</v>
      </c>
      <c r="F10" s="81" cm="1">
        <f t="array" ref="F10">RANDBETWEEN(1,6)</f>
        <v>2</v>
      </c>
      <c r="G10" s="81" cm="1">
        <f t="array" ref="G10">IF(OR(,C9="A",C9="BBB"),1,2)</f>
        <v>1</v>
      </c>
      <c r="H10" s="82" cm="1">
        <f t="array" ref="H10">_xlfn.XLOOKUP(D10,'R_P'!$E$2:$E$4,'R_P'!$G$2:$G$4)</f>
        <v>0.3</v>
      </c>
      <c r="I10" s="91" cm="1">
        <f t="array" ref="I10">_xlfn.XLOOKUP(C10,'R_P'!$B$2:$B$5,'R_P'!$C$2:$C$5)</f>
        <v>0.08</v>
      </c>
      <c r="J10" s="83" cm="1">
        <f t="array" ref="J10">1-(1-I10)^F10</f>
        <v>0.1536</v>
      </c>
      <c r="K10" s="84" cm="1">
        <f t="array" ref="K10">IF(G10=1,I10*H10*E10,J10*H10*E10)</f>
        <v>1130712</v>
      </c>
      <c r="L10" s="91" cm="1">
        <f t="array" ref="L10">I10*'R_P'!$J$3</f>
        <v>0.12</v>
      </c>
      <c r="M10" s="83" cm="1">
        <f t="array" ref="M10">1-(1-L10)^F10</f>
        <v>0.2256</v>
      </c>
      <c r="N10" s="84" cm="1">
        <f t="array" ref="N10">IF(G10=1,L10*H10*E10,M10*H10*E10)</f>
        <v>1696068</v>
      </c>
      <c r="O10" s="82" cm="1">
        <f t="array" ref="O10">L10*'R_P'!$J$4</f>
        <v>0.264</v>
      </c>
      <c r="P10" s="83" cm="1">
        <f t="array" ref="P10">1-(1-O10)^F10</f>
        <v>0.458304</v>
      </c>
      <c r="Q10" s="84" cm="1">
        <f t="array" ref="Q10">IF(G10=1,O10*E10*H10,P10*E10*H10)</f>
        <v>3731349.6</v>
      </c>
      <c r="R10" s="86" cm="1">
        <f t="array" ref="R10">K10*'R_P'!$K$2+N10*'R_P'!$K$3+Q10*'R_P'!$K$4</f>
        <v>1560382.56</v>
      </c>
      <c r="S10" s="87"/>
      <c r="T10" s="79"/>
      <c r="U10" s="79"/>
      <c r="V10" s="79"/>
      <c r="W10" s="79"/>
      <c r="X10" s="79"/>
    </row>
    <row r="11" ht="22.35" customHeight="1">
      <c r="A11" s="77"/>
      <c r="B11" t="s" s="78">
        <v>49</v>
      </c>
      <c r="C11" t="str" s="79" cm="1">
        <f t="array" ref="C11">INDEX($W$4:$W$7,RANDBETWEEN(1,4))</f>
        <v>BBB</v>
      </c>
      <c r="D11" t="str" s="79" cm="1">
        <f t="array" ref="D11">INDEX($X$4:$X$6,RANDBETWEEN(1,3))</f>
        <v>Retail</v>
      </c>
      <c r="E11" s="80" cm="1">
        <f t="array" ref="E11">MROUND(RANDBETWEEN(5000,50000000),1000)</f>
        <v>32546000</v>
      </c>
      <c r="F11" s="81" cm="1">
        <f t="array" ref="F11">RANDBETWEEN(1,6)</f>
        <v>1</v>
      </c>
      <c r="G11" s="81" cm="1">
        <f t="array" ref="G11">IF(OR(,C10="A",C10="BBB"),1,2)</f>
        <v>2</v>
      </c>
      <c r="H11" s="91" cm="1">
        <f t="array" ref="H11">_xlfn.XLOOKUP(D11,'R_P'!$E$2:$E$4,'R_P'!$G$2:$G$4)</f>
        <v>1</v>
      </c>
      <c r="I11" s="82" cm="1">
        <f t="array" ref="I11">_xlfn.XLOOKUP(C11,'R_P'!$B$2:$B$5,'R_P'!$C$2:$C$5)</f>
        <v>0.015</v>
      </c>
      <c r="J11" s="83" cm="1">
        <f t="array" ref="J11">1-(1-I11)^F11</f>
        <v>0.015</v>
      </c>
      <c r="K11" s="84" cm="1">
        <f t="array" ref="K11">IF(G11=1,I11*H11*E11,J11*H11*E11)</f>
        <v>488190</v>
      </c>
      <c r="L11" s="85" cm="1">
        <f t="array" ref="L11">I11*'R_P'!$J$3</f>
        <v>0.0225</v>
      </c>
      <c r="M11" s="83" cm="1">
        <f t="array" ref="M11">1-(1-L11)^F11</f>
        <v>0.0225</v>
      </c>
      <c r="N11" s="84" cm="1">
        <f t="array" ref="N11">IF(G11=1,L11*H11*E11,M11*H11*E11)</f>
        <v>732285</v>
      </c>
      <c r="O11" s="85" cm="1">
        <f t="array" ref="O11">L11*'R_P'!$J$4</f>
        <v>0.0495</v>
      </c>
      <c r="P11" s="83" cm="1">
        <f t="array" ref="P11">1-(1-O11)^F11</f>
        <v>0.0495</v>
      </c>
      <c r="Q11" s="84" cm="1">
        <f t="array" ref="Q11">IF(G11=1,O11*E11*H11,P11*E11*H11)</f>
        <v>1611027</v>
      </c>
      <c r="R11" s="86" cm="1">
        <f t="array" ref="R11">K11*'R_P'!$K$2+N11*'R_P'!$K$3+Q11*'R_P'!$K$4</f>
        <v>673702.2</v>
      </c>
      <c r="S11" s="87"/>
      <c r="T11" s="79"/>
      <c r="U11" s="79"/>
      <c r="V11" s="79"/>
      <c r="W11" s="79"/>
      <c r="X11" s="79"/>
    </row>
    <row r="12" ht="22.35" customHeight="1">
      <c r="A12" s="77"/>
      <c r="B12" t="s" s="78">
        <v>50</v>
      </c>
      <c r="C12" t="str" s="79" cm="1">
        <f t="array" ref="C12">INDEX($W$4:$W$7,RANDBETWEEN(1,4))</f>
        <v>BB</v>
      </c>
      <c r="D12" t="str" s="79" cm="1">
        <f t="array" ref="D12">INDEX($X$4:$X$6,RANDBETWEEN(1,3))</f>
        <v>Retail</v>
      </c>
      <c r="E12" s="80" cm="1">
        <f t="array" ref="E12">MROUND(RANDBETWEEN(5000,50000000),1000)</f>
        <v>4149000</v>
      </c>
      <c r="F12" s="81" cm="1">
        <f t="array" ref="F12">RANDBETWEEN(1,6)</f>
        <v>6</v>
      </c>
      <c r="G12" s="81" cm="1">
        <f t="array" ref="G12">IF(OR(,C11="A",C11="BBB"),1,2)</f>
        <v>1</v>
      </c>
      <c r="H12" s="91" cm="1">
        <f t="array" ref="H12">_xlfn.XLOOKUP(D12,'R_P'!$E$2:$E$4,'R_P'!$G$2:$G$4)</f>
        <v>1</v>
      </c>
      <c r="I12" s="91" cm="1">
        <f t="array" ref="I12">_xlfn.XLOOKUP(C12,'R_P'!$B$2:$B$5,'R_P'!$C$2:$C$5)</f>
        <v>0.04</v>
      </c>
      <c r="J12" s="83" cm="1">
        <f t="array" ref="J12">1-(1-I12)^F12</f>
        <v>0.217242210304</v>
      </c>
      <c r="K12" s="84" cm="1">
        <f t="array" ref="K12">IF(G12=1,I12*H12*E12,J12*H12*E12)</f>
        <v>165960</v>
      </c>
      <c r="L12" s="91" cm="1">
        <f t="array" ref="L12">I12*'R_P'!$J$3</f>
        <v>0.06</v>
      </c>
      <c r="M12" s="83" cm="1">
        <f t="array" ref="M12">1-(1-L12)^F12</f>
        <v>0.310130218944</v>
      </c>
      <c r="N12" s="84" cm="1">
        <f t="array" ref="N12">IF(G12=1,L12*H12*E12,M12*H12*E12)</f>
        <v>248940</v>
      </c>
      <c r="O12" s="82" cm="1">
        <f t="array" ref="O12">L12*'R_P'!$J$4</f>
        <v>0.132</v>
      </c>
      <c r="P12" s="83" cm="1">
        <f t="array" ref="P12">1-(1-O12)^F12</f>
        <v>0.572320581361791</v>
      </c>
      <c r="Q12" s="84" cm="1">
        <f t="array" ref="Q12">IF(G12=1,O12*E12*H12,P12*E12*H12)</f>
        <v>547668</v>
      </c>
      <c r="R12" s="86" cm="1">
        <f t="array" ref="R12">K12*'R_P'!$K$2+N12*'R_P'!$K$3+Q12*'R_P'!$K$4</f>
        <v>229024.8</v>
      </c>
      <c r="S12" s="87"/>
      <c r="T12" s="79"/>
      <c r="U12" s="79"/>
      <c r="V12" s="79"/>
      <c r="W12" s="79"/>
      <c r="X12" s="79"/>
    </row>
    <row r="13" ht="22.35" customHeight="1">
      <c r="A13" s="77"/>
      <c r="B13" t="s" s="78">
        <v>51</v>
      </c>
      <c r="C13" t="str" s="79" cm="1">
        <f t="array" ref="C13">INDEX($W$4:$W$7,RANDBETWEEN(1,4))</f>
        <v>BB</v>
      </c>
      <c r="D13" t="str" s="79" cm="1">
        <f t="array" ref="D13">INDEX($X$4:$X$6,RANDBETWEEN(1,3))</f>
        <v>Energy</v>
      </c>
      <c r="E13" s="80" cm="1">
        <f t="array" ref="E13">MROUND(RANDBETWEEN(5000,50000000),1000)</f>
        <v>25855000</v>
      </c>
      <c r="F13" s="81" cm="1">
        <f t="array" ref="F13">RANDBETWEEN(1,6)</f>
        <v>2</v>
      </c>
      <c r="G13" s="81" cm="1">
        <f t="array" ref="G13">IF(OR(,C12="A",C12="BBB"),1,2)</f>
        <v>2</v>
      </c>
      <c r="H13" s="82" cm="1">
        <f t="array" ref="H13">_xlfn.XLOOKUP(D13,'R_P'!$E$2:$E$4,'R_P'!$G$2:$G$4)</f>
        <v>0.5</v>
      </c>
      <c r="I13" s="91" cm="1">
        <f t="array" ref="I13">_xlfn.XLOOKUP(C13,'R_P'!$B$2:$B$5,'R_P'!$C$2:$C$5)</f>
        <v>0.04</v>
      </c>
      <c r="J13" s="83" cm="1">
        <f t="array" ref="J13">1-(1-I13)^F13</f>
        <v>0.0784</v>
      </c>
      <c r="K13" s="84" cm="1">
        <f t="array" ref="K13">IF(G13=1,I13*H13*E13,J13*H13*E13)</f>
        <v>1013516</v>
      </c>
      <c r="L13" s="91" cm="1">
        <f t="array" ref="L13">I13*'R_P'!$J$3</f>
        <v>0.06</v>
      </c>
      <c r="M13" s="83" cm="1">
        <f t="array" ref="M13">1-(1-L13)^F13</f>
        <v>0.1164</v>
      </c>
      <c r="N13" s="84" cm="1">
        <f t="array" ref="N13">IF(G13=1,L13*H13*E13,M13*H13*E13)</f>
        <v>1504761</v>
      </c>
      <c r="O13" s="82" cm="1">
        <f t="array" ref="O13">L13*'R_P'!$J$4</f>
        <v>0.132</v>
      </c>
      <c r="P13" s="83" cm="1">
        <f t="array" ref="P13">1-(1-O13)^F13</f>
        <v>0.246576</v>
      </c>
      <c r="Q13" s="84" cm="1">
        <f t="array" ref="Q13">IF(G13=1,O13*E13*H13,P13*E13*H13)</f>
        <v>3187611.24</v>
      </c>
      <c r="R13" s="86" cm="1">
        <f t="array" ref="R13">K13*'R_P'!$K$2+N13*'R_P'!$K$3+Q13*'R_P'!$K$4</f>
        <v>1378299.024</v>
      </c>
      <c r="S13" s="87"/>
      <c r="T13" s="79"/>
      <c r="U13" s="79"/>
      <c r="V13" s="79"/>
      <c r="W13" s="79"/>
      <c r="X13" s="79"/>
    </row>
    <row r="14" ht="22.35" customHeight="1">
      <c r="A14" s="77"/>
      <c r="B14" t="s" s="78">
        <v>52</v>
      </c>
      <c r="C14" t="str" s="79" cm="1">
        <f t="array" ref="C14">INDEX($W$4:$W$7,RANDBETWEEN(1,4))</f>
        <v>A</v>
      </c>
      <c r="D14" t="str" s="79" cm="1">
        <f t="array" ref="D14">INDEX($X$4:$X$6,RANDBETWEEN(1,3))</f>
        <v>Retail</v>
      </c>
      <c r="E14" s="80" cm="1">
        <f t="array" ref="E14">MROUND(RANDBETWEEN(5000,50000000),1000)</f>
        <v>29664000</v>
      </c>
      <c r="F14" s="81" cm="1">
        <f t="array" ref="F14">RANDBETWEEN(1,6)</f>
        <v>5</v>
      </c>
      <c r="G14" s="81" cm="1">
        <f t="array" ref="G14">IF(OR(,C13="A",C13="BBB"),1,2)</f>
        <v>2</v>
      </c>
      <c r="H14" s="91" cm="1">
        <f t="array" ref="H14">_xlfn.XLOOKUP(D14,'R_P'!$E$2:$E$4,'R_P'!$G$2:$G$4)</f>
        <v>1</v>
      </c>
      <c r="I14" s="82" cm="1">
        <f t="array" ref="I14">_xlfn.XLOOKUP(C14,'R_P'!$B$2:$B$5,'R_P'!$C$2:$C$5)</f>
        <v>0.005</v>
      </c>
      <c r="J14" s="83" cm="1">
        <f t="array" ref="J14">1-(1-I14)^F14</f>
        <v>0.024751246878125</v>
      </c>
      <c r="K14" s="84" cm="1">
        <f t="array" ref="K14">IF(G14=1,I14*H14*E14,J14*H14*E14)</f>
        <v>734220.9873927</v>
      </c>
      <c r="L14" s="85" cm="1">
        <f t="array" ref="L14">I14*'R_P'!$J$3</f>
        <v>0.0075</v>
      </c>
      <c r="M14" s="83" cm="1">
        <f t="array" ref="M14">1-(1-L14)^F14</f>
        <v>0.0369417029534177</v>
      </c>
      <c r="N14" s="84" cm="1">
        <f t="array" ref="N14">IF(G14=1,L14*H14*E14,M14*H14*E14)</f>
        <v>1095838.67641018</v>
      </c>
      <c r="O14" s="85" cm="1">
        <f t="array" ref="O14">L14*'R_P'!$J$4</f>
        <v>0.0165</v>
      </c>
      <c r="P14" s="83" cm="1">
        <f t="array" ref="P14">1-(1-O14)^F14</f>
        <v>0.0798220518726683</v>
      </c>
      <c r="Q14" s="84" cm="1">
        <f t="array" ref="Q14">IF(G14=1,O14*E14*H14,P14*E14*H14)</f>
        <v>2367841.34675083</v>
      </c>
      <c r="R14" s="86" cm="1">
        <f t="array" ref="R14">K14*'R_P'!$K$2+N14*'R_P'!$K$3+Q14*'R_P'!$K$4</f>
        <v>1006068.33003376</v>
      </c>
      <c r="S14" s="87"/>
      <c r="T14" s="79"/>
      <c r="U14" s="79"/>
      <c r="V14" s="79"/>
      <c r="W14" s="79"/>
      <c r="X14" s="79"/>
    </row>
    <row r="15" ht="22.35" customHeight="1">
      <c r="A15" s="77"/>
      <c r="B15" t="s" s="78">
        <v>53</v>
      </c>
      <c r="C15" t="str" s="79" cm="1">
        <f t="array" ref="C15">INDEX($W$4:$W$7,RANDBETWEEN(1,4))</f>
        <v>BB</v>
      </c>
      <c r="D15" t="str" s="79" cm="1">
        <f t="array" ref="D15">INDEX($X$4:$X$6,RANDBETWEEN(1,3))</f>
        <v>Retail</v>
      </c>
      <c r="E15" s="80" cm="1">
        <f t="array" ref="E15">MROUND(RANDBETWEEN(5000,50000000),1000)</f>
        <v>20766000</v>
      </c>
      <c r="F15" s="81" cm="1">
        <f t="array" ref="F15">RANDBETWEEN(1,6)</f>
        <v>2</v>
      </c>
      <c r="G15" s="81" cm="1">
        <f t="array" ref="G15">IF(OR(,C14="A",C14="BBB"),1,2)</f>
        <v>1</v>
      </c>
      <c r="H15" s="91" cm="1">
        <f t="array" ref="H15">_xlfn.XLOOKUP(D15,'R_P'!$E$2:$E$4,'R_P'!$G$2:$G$4)</f>
        <v>1</v>
      </c>
      <c r="I15" s="91" cm="1">
        <f t="array" ref="I15">_xlfn.XLOOKUP(C15,'R_P'!$B$2:$B$5,'R_P'!$C$2:$C$5)</f>
        <v>0.04</v>
      </c>
      <c r="J15" s="83" cm="1">
        <f t="array" ref="J15">1-(1-I15)^F15</f>
        <v>0.0784</v>
      </c>
      <c r="K15" s="84" cm="1">
        <f t="array" ref="K15">IF(G15=1,I15*H15*E15,J15*H15*E15)</f>
        <v>830640</v>
      </c>
      <c r="L15" s="91" cm="1">
        <f t="array" ref="L15">I15*'R_P'!$J$3</f>
        <v>0.06</v>
      </c>
      <c r="M15" s="83" cm="1">
        <f t="array" ref="M15">1-(1-L15)^F15</f>
        <v>0.1164</v>
      </c>
      <c r="N15" s="84" cm="1">
        <f t="array" ref="N15">IF(G15=1,L15*H15*E15,M15*H15*E15)</f>
        <v>1245960</v>
      </c>
      <c r="O15" s="82" cm="1">
        <f t="array" ref="O15">L15*'R_P'!$J$4</f>
        <v>0.132</v>
      </c>
      <c r="P15" s="83" cm="1">
        <f t="array" ref="P15">1-(1-O15)^F15</f>
        <v>0.246576</v>
      </c>
      <c r="Q15" s="84" cm="1">
        <f t="array" ref="Q15">IF(G15=1,O15*E15*H15,P15*E15*H15)</f>
        <v>2741112</v>
      </c>
      <c r="R15" s="86" cm="1">
        <f t="array" ref="R15">K15*'R_P'!$K$2+N15*'R_P'!$K$3+Q15*'R_P'!$K$4</f>
        <v>1146283.2</v>
      </c>
      <c r="S15" s="87"/>
      <c r="T15" s="79"/>
      <c r="U15" s="79"/>
      <c r="V15" s="79"/>
      <c r="W15" s="79"/>
      <c r="X15" s="79"/>
    </row>
    <row r="16" ht="22.35" customHeight="1">
      <c r="A16" s="77"/>
      <c r="B16" t="s" s="78">
        <v>54</v>
      </c>
      <c r="C16" t="str" s="79" cm="1">
        <f t="array" ref="C16">INDEX($W$4:$W$7,RANDBETWEEN(1,4))</f>
        <v>BB</v>
      </c>
      <c r="D16" t="str" s="79" cm="1">
        <f t="array" ref="D16">INDEX($X$4:$X$6,RANDBETWEEN(1,3))</f>
        <v>Tech</v>
      </c>
      <c r="E16" s="80" cm="1">
        <f t="array" ref="E16">MROUND(RANDBETWEEN(5000,50000000),1000)</f>
        <v>10674000</v>
      </c>
      <c r="F16" s="81" cm="1">
        <f t="array" ref="F16">RANDBETWEEN(1,6)</f>
        <v>3</v>
      </c>
      <c r="G16" s="81" cm="1">
        <f t="array" ref="G16">IF(OR(,C15="A",C15="BBB"),1,2)</f>
        <v>2</v>
      </c>
      <c r="H16" s="82" cm="1">
        <f t="array" ref="H16">_xlfn.XLOOKUP(D16,'R_P'!$E$2:$E$4,'R_P'!$G$2:$G$4)</f>
        <v>0.3</v>
      </c>
      <c r="I16" s="91" cm="1">
        <f t="array" ref="I16">_xlfn.XLOOKUP(C16,'R_P'!$B$2:$B$5,'R_P'!$C$2:$C$5)</f>
        <v>0.04</v>
      </c>
      <c r="J16" s="83" cm="1">
        <f t="array" ref="J16">1-(1-I16)^F16</f>
        <v>0.115264</v>
      </c>
      <c r="K16" s="84" cm="1">
        <f t="array" ref="K16">IF(G16=1,I16*H16*E16,J16*H16*E16)</f>
        <v>369098.3808</v>
      </c>
      <c r="L16" s="91" cm="1">
        <f t="array" ref="L16">I16*'R_P'!$J$3</f>
        <v>0.06</v>
      </c>
      <c r="M16" s="83" cm="1">
        <f t="array" ref="M16">1-(1-L16)^F16</f>
        <v>0.169416</v>
      </c>
      <c r="N16" s="84" cm="1">
        <f t="array" ref="N16">IF(G16=1,L16*H16*E16,M16*H16*E16)</f>
        <v>542503.9152</v>
      </c>
      <c r="O16" s="82" cm="1">
        <f t="array" ref="O16">L16*'R_P'!$J$4</f>
        <v>0.132</v>
      </c>
      <c r="P16" s="83" cm="1">
        <f t="array" ref="P16">1-(1-O16)^F16</f>
        <v>0.346027968</v>
      </c>
      <c r="Q16" s="84" cm="1">
        <f t="array" ref="Q16">IF(G16=1,O16*E16*H16,P16*E16*H16)</f>
        <v>1108050.7591296</v>
      </c>
      <c r="R16" s="86" cm="1">
        <f t="array" ref="R16">K16*'R_P'!$K$2+N16*'R_P'!$K$3+Q16*'R_P'!$K$4</f>
        <v>495015.27895296</v>
      </c>
      <c r="S16" s="87"/>
      <c r="T16" s="79"/>
      <c r="U16" s="79"/>
      <c r="V16" s="79"/>
      <c r="W16" s="79"/>
      <c r="X16" s="79"/>
    </row>
    <row r="17" ht="22.35" customHeight="1">
      <c r="A17" s="77"/>
      <c r="B17" t="s" s="78">
        <v>55</v>
      </c>
      <c r="C17" t="str" s="79" cm="1">
        <f t="array" ref="C17">INDEX($W$4:$W$7,RANDBETWEEN(1,4))</f>
        <v>A</v>
      </c>
      <c r="D17" t="str" s="79" cm="1">
        <f t="array" ref="D17">INDEX($X$4:$X$6,RANDBETWEEN(1,3))</f>
        <v>Tech</v>
      </c>
      <c r="E17" s="80" cm="1">
        <f t="array" ref="E17">MROUND(RANDBETWEEN(5000,50000000),1000)</f>
        <v>32554000</v>
      </c>
      <c r="F17" s="81" cm="1">
        <f t="array" ref="F17">RANDBETWEEN(1,6)</f>
        <v>5</v>
      </c>
      <c r="G17" s="81" cm="1">
        <f t="array" ref="G17">IF(OR(,C16="A",C16="BBB"),1,2)</f>
        <v>2</v>
      </c>
      <c r="H17" s="82" cm="1">
        <f t="array" ref="H17">_xlfn.XLOOKUP(D17,'R_P'!$E$2:$E$4,'R_P'!$G$2:$G$4)</f>
        <v>0.3</v>
      </c>
      <c r="I17" s="82" cm="1">
        <f t="array" ref="I17">_xlfn.XLOOKUP(C17,'R_P'!$B$2:$B$5,'R_P'!$C$2:$C$5)</f>
        <v>0.005</v>
      </c>
      <c r="J17" s="83" cm="1">
        <f t="array" ref="J17">1-(1-I17)^F17</f>
        <v>0.024751246878125</v>
      </c>
      <c r="K17" s="84" cm="1">
        <f t="array" ref="K17">IF(G17=1,I17*H17*E17,J17*H17*E17)</f>
        <v>241725.627261144</v>
      </c>
      <c r="L17" s="85" cm="1">
        <f t="array" ref="L17">I17*'R_P'!$J$3</f>
        <v>0.0075</v>
      </c>
      <c r="M17" s="83" cm="1">
        <f t="array" ref="M17">1-(1-L17)^F17</f>
        <v>0.0369417029534177</v>
      </c>
      <c r="N17" s="84" cm="1">
        <f t="array" ref="N17">IF(G17=1,L17*H17*E17,M17*H17*E17)</f>
        <v>360780.059383668</v>
      </c>
      <c r="O17" s="85" cm="1">
        <f t="array" ref="O17">L17*'R_P'!$J$4</f>
        <v>0.0165</v>
      </c>
      <c r="P17" s="83" cm="1">
        <f t="array" ref="P17">1-(1-O17)^F17</f>
        <v>0.0798220518726683</v>
      </c>
      <c r="Q17" s="84" cm="1">
        <f t="array" ref="Q17">IF(G17=1,O17*E17*H17,P17*E17*H17)</f>
        <v>779558.122998853</v>
      </c>
      <c r="R17" s="86" cm="1">
        <f t="array" ref="R17">K17*'R_P'!$K$2+N17*'R_P'!$K$3+Q17*'R_P'!$K$4</f>
        <v>331225.206471672</v>
      </c>
      <c r="S17" s="87"/>
      <c r="T17" s="79"/>
      <c r="U17" s="79"/>
      <c r="V17" s="79"/>
      <c r="W17" s="79"/>
      <c r="X17" s="79"/>
    </row>
    <row r="18" ht="22.35" customHeight="1">
      <c r="A18" s="77"/>
      <c r="B18" t="s" s="78">
        <v>56</v>
      </c>
      <c r="C18" t="str" s="79" cm="1">
        <f t="array" ref="C18">INDEX($W$4:$W$7,RANDBETWEEN(1,4))</f>
        <v>A</v>
      </c>
      <c r="D18" t="str" s="79" cm="1">
        <f t="array" ref="D18">INDEX($X$4:$X$6,RANDBETWEEN(1,3))</f>
        <v>Tech</v>
      </c>
      <c r="E18" s="80" cm="1">
        <f t="array" ref="E18">MROUND(RANDBETWEEN(5000,50000000),1000)</f>
        <v>40936000</v>
      </c>
      <c r="F18" s="81" cm="1">
        <f t="array" ref="F18">RANDBETWEEN(1,6)</f>
        <v>4</v>
      </c>
      <c r="G18" s="81" cm="1">
        <f t="array" ref="G18">IF(OR(,C17="A",C17="BBB"),1,2)</f>
        <v>1</v>
      </c>
      <c r="H18" s="82" cm="1">
        <f t="array" ref="H18">_xlfn.XLOOKUP(D18,'R_P'!$E$2:$E$4,'R_P'!$G$2:$G$4)</f>
        <v>0.3</v>
      </c>
      <c r="I18" s="82" cm="1">
        <f t="array" ref="I18">_xlfn.XLOOKUP(C18,'R_P'!$B$2:$B$5,'R_P'!$C$2:$C$5)</f>
        <v>0.005</v>
      </c>
      <c r="J18" s="83" cm="1">
        <f t="array" ref="J18">1-(1-I18)^F18</f>
        <v>0.0198504993750001</v>
      </c>
      <c r="K18" s="84" cm="1">
        <f t="array" ref="K18">IF(G18=1,I18*H18*E18,J18*H18*E18)</f>
        <v>61404</v>
      </c>
      <c r="L18" s="85" cm="1">
        <f t="array" ref="L18">I18*'R_P'!$J$3</f>
        <v>0.0075</v>
      </c>
      <c r="M18" s="83" cm="1">
        <f t="array" ref="M18">1-(1-L18)^F18</f>
        <v>0.0296641843359373</v>
      </c>
      <c r="N18" s="84" cm="1">
        <f t="array" ref="N18">IF(G18=1,L18*H18*E18,M18*H18*E18)</f>
        <v>92106</v>
      </c>
      <c r="O18" s="85" cm="1">
        <f t="array" ref="O18">L18*'R_P'!$J$4</f>
        <v>0.0165</v>
      </c>
      <c r="P18" s="83" cm="1">
        <f t="array" ref="P18">1-(1-O18)^F18</f>
        <v>0.0643843943799374</v>
      </c>
      <c r="Q18" s="84" cm="1">
        <f t="array" ref="Q18">IF(G18=1,O18*E18*H18,P18*E18*H18)</f>
        <v>202633.2</v>
      </c>
      <c r="R18" s="86" cm="1">
        <f t="array" ref="R18">K18*'R_P'!$K$2+N18*'R_P'!$K$3+Q18*'R_P'!$K$4</f>
        <v>84737.52</v>
      </c>
      <c r="S18" s="87"/>
      <c r="T18" s="79"/>
      <c r="U18" s="79"/>
      <c r="V18" s="79"/>
      <c r="W18" s="79"/>
      <c r="X18" s="79"/>
    </row>
    <row r="19" ht="22.35" customHeight="1">
      <c r="A19" s="77"/>
      <c r="B19" t="s" s="78">
        <v>57</v>
      </c>
      <c r="C19" t="str" s="79" cm="1">
        <f t="array" ref="C19">INDEX($W$4:$W$7,RANDBETWEEN(1,4))</f>
        <v>BB</v>
      </c>
      <c r="D19" t="str" s="79" cm="1">
        <f t="array" ref="D19">INDEX($X$4:$X$6,RANDBETWEEN(1,3))</f>
        <v>Retail</v>
      </c>
      <c r="E19" s="80" cm="1">
        <f t="array" ref="E19">MROUND(RANDBETWEEN(5000,50000000),1000)</f>
        <v>30668000</v>
      </c>
      <c r="F19" s="81" cm="1">
        <f t="array" ref="F19">RANDBETWEEN(1,6)</f>
        <v>1</v>
      </c>
      <c r="G19" s="81" cm="1">
        <f t="array" ref="G19">IF(OR(,C18="A",C18="BBB"),1,2)</f>
        <v>1</v>
      </c>
      <c r="H19" s="91" cm="1">
        <f t="array" ref="H19">_xlfn.XLOOKUP(D19,'R_P'!$E$2:$E$4,'R_P'!$G$2:$G$4)</f>
        <v>1</v>
      </c>
      <c r="I19" s="91" cm="1">
        <f t="array" ref="I19">_xlfn.XLOOKUP(C19,'R_P'!$B$2:$B$5,'R_P'!$C$2:$C$5)</f>
        <v>0.04</v>
      </c>
      <c r="J19" s="83" cm="1">
        <f t="array" ref="J19">1-(1-I19)^F19</f>
        <v>0.04</v>
      </c>
      <c r="K19" s="84" cm="1">
        <f t="array" ref="K19">IF(G19=1,I19*H19*E19,J19*H19*E19)</f>
        <v>1226720</v>
      </c>
      <c r="L19" s="91" cm="1">
        <f t="array" ref="L19">I19*'R_P'!$J$3</f>
        <v>0.06</v>
      </c>
      <c r="M19" s="83" cm="1">
        <f t="array" ref="M19">1-(1-L19)^F19</f>
        <v>0.0600000000000001</v>
      </c>
      <c r="N19" s="84" cm="1">
        <f t="array" ref="N19">IF(G19=1,L19*H19*E19,M19*H19*E19)</f>
        <v>1840080</v>
      </c>
      <c r="O19" s="82" cm="1">
        <f t="array" ref="O19">L19*'R_P'!$J$4</f>
        <v>0.132</v>
      </c>
      <c r="P19" s="83" cm="1">
        <f t="array" ref="P19">1-(1-O19)^F19</f>
        <v>0.132</v>
      </c>
      <c r="Q19" s="84" cm="1">
        <f t="array" ref="Q19">IF(G19=1,O19*E19*H19,P19*E19*H19)</f>
        <v>4048176</v>
      </c>
      <c r="R19" s="86" cm="1">
        <f t="array" ref="R19">K19*'R_P'!$K$2+N19*'R_P'!$K$3+Q19*'R_P'!$K$4</f>
        <v>1692873.6</v>
      </c>
      <c r="S19" s="87"/>
      <c r="T19" s="79"/>
      <c r="U19" s="79"/>
      <c r="V19" s="79"/>
      <c r="W19" s="79"/>
      <c r="X19" s="79"/>
    </row>
    <row r="20" ht="22.35" customHeight="1">
      <c r="A20" s="77"/>
      <c r="B20" t="s" s="78">
        <v>58</v>
      </c>
      <c r="C20" t="str" s="79" cm="1">
        <f t="array" ref="C20">INDEX($W$4:$W$7,RANDBETWEEN(1,4))</f>
        <v>BB</v>
      </c>
      <c r="D20" t="str" s="79" cm="1">
        <f t="array" ref="D20">INDEX($X$4:$X$6,RANDBETWEEN(1,3))</f>
        <v>Energy</v>
      </c>
      <c r="E20" s="80" cm="1">
        <f t="array" ref="E20">MROUND(RANDBETWEEN(5000,50000000),1000)</f>
        <v>35592000</v>
      </c>
      <c r="F20" s="81" cm="1">
        <f t="array" ref="F20">RANDBETWEEN(1,6)</f>
        <v>1</v>
      </c>
      <c r="G20" s="81" cm="1">
        <f t="array" ref="G20">IF(OR(,C19="A",C19="BBB"),1,2)</f>
        <v>2</v>
      </c>
      <c r="H20" s="82" cm="1">
        <f t="array" ref="H20">_xlfn.XLOOKUP(D20,'R_P'!$E$2:$E$4,'R_P'!$G$2:$G$4)</f>
        <v>0.5</v>
      </c>
      <c r="I20" s="91" cm="1">
        <f t="array" ref="I20">_xlfn.XLOOKUP(C20,'R_P'!$B$2:$B$5,'R_P'!$C$2:$C$5)</f>
        <v>0.04</v>
      </c>
      <c r="J20" s="83" cm="1">
        <f t="array" ref="J20">1-(1-I20)^F20</f>
        <v>0.04</v>
      </c>
      <c r="K20" s="84" cm="1">
        <f t="array" ref="K20">IF(G20=1,I20*H20*E20,J20*H20*E20)</f>
        <v>711840</v>
      </c>
      <c r="L20" s="91" cm="1">
        <f t="array" ref="L20">I20*'R_P'!$J$3</f>
        <v>0.06</v>
      </c>
      <c r="M20" s="83" cm="1">
        <f t="array" ref="M20">1-(1-L20)^F20</f>
        <v>0.0600000000000001</v>
      </c>
      <c r="N20" s="84" cm="1">
        <f t="array" ref="N20">IF(G20=1,L20*H20*E20,M20*H20*E20)</f>
        <v>1067760</v>
      </c>
      <c r="O20" s="82" cm="1">
        <f t="array" ref="O20">L20*'R_P'!$J$4</f>
        <v>0.132</v>
      </c>
      <c r="P20" s="83" cm="1">
        <f t="array" ref="P20">1-(1-O20)^F20</f>
        <v>0.132</v>
      </c>
      <c r="Q20" s="84" cm="1">
        <f t="array" ref="Q20">IF(G20=1,O20*E20*H20,P20*E20*H20)</f>
        <v>2349072</v>
      </c>
      <c r="R20" s="86" cm="1">
        <f t="array" ref="R20">K20*'R_P'!$K$2+N20*'R_P'!$K$3+Q20*'R_P'!$K$4</f>
        <v>982339.2</v>
      </c>
      <c r="S20" s="87"/>
      <c r="T20" s="79"/>
      <c r="U20" s="79"/>
      <c r="V20" s="79"/>
      <c r="W20" s="79"/>
      <c r="X20" s="79"/>
    </row>
    <row r="21" ht="22.35" customHeight="1">
      <c r="A21" s="77"/>
      <c r="B21" t="s" s="78">
        <v>59</v>
      </c>
      <c r="C21" t="str" s="79" cm="1">
        <f t="array" ref="C21">INDEX($W$4:$W$7,RANDBETWEEN(1,4))</f>
        <v>B</v>
      </c>
      <c r="D21" t="str" s="79" cm="1">
        <f t="array" ref="D21">INDEX($X$4:$X$6,RANDBETWEEN(1,3))</f>
        <v>Retail</v>
      </c>
      <c r="E21" s="80" cm="1">
        <f t="array" ref="E21">MROUND(RANDBETWEEN(5000,50000000),1000)</f>
        <v>18460000</v>
      </c>
      <c r="F21" s="81" cm="1">
        <f t="array" ref="F21">RANDBETWEEN(1,6)</f>
        <v>3</v>
      </c>
      <c r="G21" s="81" cm="1">
        <f t="array" ref="G21">IF(OR(,C20="A",C20="BBB"),1,2)</f>
        <v>2</v>
      </c>
      <c r="H21" s="91" cm="1">
        <f t="array" ref="H21">_xlfn.XLOOKUP(D21,'R_P'!$E$2:$E$4,'R_P'!$G$2:$G$4)</f>
        <v>1</v>
      </c>
      <c r="I21" s="91" cm="1">
        <f t="array" ref="I21">_xlfn.XLOOKUP(C21,'R_P'!$B$2:$B$5,'R_P'!$C$2:$C$5)</f>
        <v>0.08</v>
      </c>
      <c r="J21" s="83" cm="1">
        <f t="array" ref="J21">1-(1-I21)^F21</f>
        <v>0.221312</v>
      </c>
      <c r="K21" s="84" cm="1">
        <f t="array" ref="K21">IF(G21=1,I21*H21*E21,J21*H21*E21)</f>
        <v>4085419.52</v>
      </c>
      <c r="L21" s="91" cm="1">
        <f t="array" ref="L21">I21*'R_P'!$J$3</f>
        <v>0.12</v>
      </c>
      <c r="M21" s="83" cm="1">
        <f t="array" ref="M21">1-(1-L21)^F21</f>
        <v>0.318528</v>
      </c>
      <c r="N21" s="84" cm="1">
        <f t="array" ref="N21">IF(G21=1,L21*H21*E21,M21*H21*E21)</f>
        <v>5880026.88</v>
      </c>
      <c r="O21" s="82" cm="1">
        <f t="array" ref="O21">L21*'R_P'!$J$4</f>
        <v>0.264</v>
      </c>
      <c r="P21" s="83" cm="1">
        <f t="array" ref="P21">1-(1-O21)^F21</f>
        <v>0.601311744</v>
      </c>
      <c r="Q21" s="84" cm="1">
        <f t="array" ref="Q21">IF(G21=1,O21*E21*H21,P21*E21*H21)</f>
        <v>11100214.79424</v>
      </c>
      <c r="R21" s="86" cm="1">
        <f t="array" ref="R21">K21*'R_P'!$K$2+N21*'R_P'!$K$3+Q21*'R_P'!$K$4</f>
        <v>5325281.255424</v>
      </c>
      <c r="S21" s="87"/>
      <c r="T21" s="79"/>
      <c r="U21" s="79"/>
      <c r="V21" s="79"/>
      <c r="W21" s="79"/>
      <c r="X21" s="79"/>
    </row>
    <row r="22" ht="22.35" customHeight="1">
      <c r="A22" s="77"/>
      <c r="B22" t="s" s="78">
        <v>60</v>
      </c>
      <c r="C22" t="str" s="79" cm="1">
        <f t="array" ref="C22">INDEX($W$4:$W$7,RANDBETWEEN(1,4))</f>
        <v>BBB</v>
      </c>
      <c r="D22" t="str" s="79" cm="1">
        <f t="array" ref="D22">INDEX($X$4:$X$6,RANDBETWEEN(1,3))</f>
        <v>Retail</v>
      </c>
      <c r="E22" s="80" cm="1">
        <f t="array" ref="E22">MROUND(RANDBETWEEN(5000,50000000),1000)</f>
        <v>28975000</v>
      </c>
      <c r="F22" s="81" cm="1">
        <f t="array" ref="F22">RANDBETWEEN(1,6)</f>
        <v>1</v>
      </c>
      <c r="G22" s="81" cm="1">
        <f t="array" ref="G22">IF(OR(,C21="A",C21="BBB"),1,2)</f>
        <v>2</v>
      </c>
      <c r="H22" s="91" cm="1">
        <f t="array" ref="H22">_xlfn.XLOOKUP(D22,'R_P'!$E$2:$E$4,'R_P'!$G$2:$G$4)</f>
        <v>1</v>
      </c>
      <c r="I22" s="82" cm="1">
        <f t="array" ref="I22">_xlfn.XLOOKUP(C22,'R_P'!$B$2:$B$5,'R_P'!$C$2:$C$5)</f>
        <v>0.015</v>
      </c>
      <c r="J22" s="83" cm="1">
        <f t="array" ref="J22">1-(1-I22)^F22</f>
        <v>0.015</v>
      </c>
      <c r="K22" s="84" cm="1">
        <f t="array" ref="K22">IF(G22=1,I22*H22*E22,J22*H22*E22)</f>
        <v>434625</v>
      </c>
      <c r="L22" s="85" cm="1">
        <f t="array" ref="L22">I22*'R_P'!$J$3</f>
        <v>0.0225</v>
      </c>
      <c r="M22" s="83" cm="1">
        <f t="array" ref="M22">1-(1-L22)^F22</f>
        <v>0.0225</v>
      </c>
      <c r="N22" s="84" cm="1">
        <f t="array" ref="N22">IF(G22=1,L22*H22*E22,M22*H22*E22)</f>
        <v>651937.5</v>
      </c>
      <c r="O22" s="85" cm="1">
        <f t="array" ref="O22">L22*'R_P'!$J$4</f>
        <v>0.0495</v>
      </c>
      <c r="P22" s="83" cm="1">
        <f t="array" ref="P22">1-(1-O22)^F22</f>
        <v>0.0495</v>
      </c>
      <c r="Q22" s="84" cm="1">
        <f t="array" ref="Q22">IF(G22=1,O22*E22*H22,P22*E22*H22)</f>
        <v>1434262.5</v>
      </c>
      <c r="R22" s="86" cm="1">
        <f t="array" ref="R22">K22*'R_P'!$K$2+N22*'R_P'!$K$3+Q22*'R_P'!$K$4</f>
        <v>599782.5</v>
      </c>
      <c r="S22" s="87"/>
      <c r="T22" s="79"/>
      <c r="U22" s="79"/>
      <c r="V22" s="79"/>
      <c r="W22" s="79"/>
      <c r="X22" s="79"/>
    </row>
    <row r="23" ht="22.35" customHeight="1">
      <c r="A23" s="77"/>
      <c r="B23" t="s" s="78">
        <v>61</v>
      </c>
      <c r="C23" t="str" s="79" cm="1">
        <f t="array" ref="C23">INDEX($W$4:$W$7,RANDBETWEEN(1,4))</f>
        <v>BB</v>
      </c>
      <c r="D23" t="str" s="79" cm="1">
        <f t="array" ref="D23">INDEX($X$4:$X$6,RANDBETWEEN(1,3))</f>
        <v>Energy</v>
      </c>
      <c r="E23" s="80" cm="1">
        <f t="array" ref="E23">MROUND(RANDBETWEEN(5000,50000000),1000)</f>
        <v>42048000</v>
      </c>
      <c r="F23" s="81" cm="1">
        <f t="array" ref="F23">RANDBETWEEN(1,6)</f>
        <v>4</v>
      </c>
      <c r="G23" s="81" cm="1">
        <f t="array" ref="G23">IF(OR(,C22="A",C22="BBB"),1,2)</f>
        <v>1</v>
      </c>
      <c r="H23" s="82" cm="1">
        <f t="array" ref="H23">_xlfn.XLOOKUP(D23,'R_P'!$E$2:$E$4,'R_P'!$G$2:$G$4)</f>
        <v>0.5</v>
      </c>
      <c r="I23" s="91" cm="1">
        <f t="array" ref="I23">_xlfn.XLOOKUP(C23,'R_P'!$B$2:$B$5,'R_P'!$C$2:$C$5)</f>
        <v>0.04</v>
      </c>
      <c r="J23" s="83" cm="1">
        <f t="array" ref="J23">1-(1-I23)^F23</f>
        <v>0.15065344</v>
      </c>
      <c r="K23" s="84" cm="1">
        <f t="array" ref="K23">IF(G23=1,I23*H23*E23,J23*H23*E23)</f>
        <v>840960</v>
      </c>
      <c r="L23" s="91" cm="1">
        <f t="array" ref="L23">I23*'R_P'!$J$3</f>
        <v>0.06</v>
      </c>
      <c r="M23" s="83" cm="1">
        <f t="array" ref="M23">1-(1-L23)^F23</f>
        <v>0.21925104</v>
      </c>
      <c r="N23" s="84" cm="1">
        <f t="array" ref="N23">IF(G23=1,L23*H23*E23,M23*H23*E23)</f>
        <v>1261440</v>
      </c>
      <c r="O23" s="82" cm="1">
        <f t="array" ref="O23">L23*'R_P'!$J$4</f>
        <v>0.132</v>
      </c>
      <c r="P23" s="83" cm="1">
        <f t="array" ref="P23">1-(1-O23)^F23</f>
        <v>0.432352276224</v>
      </c>
      <c r="Q23" s="84" cm="1">
        <f t="array" ref="Q23">IF(G23=1,O23*E23*H23,P23*E23*H23)</f>
        <v>2775168</v>
      </c>
      <c r="R23" s="86" cm="1">
        <f t="array" ref="R23">K23*'R_P'!$K$2+N23*'R_P'!$K$3+Q23*'R_P'!$K$4</f>
        <v>1160524.8</v>
      </c>
      <c r="S23" s="87"/>
      <c r="T23" s="79"/>
      <c r="U23" s="79"/>
      <c r="V23" s="79"/>
      <c r="W23" s="79"/>
      <c r="X23" s="79"/>
    </row>
    <row r="24" ht="22.35" customHeight="1">
      <c r="A24" s="77"/>
      <c r="B24" t="s" s="78">
        <v>62</v>
      </c>
      <c r="C24" t="str" s="79" cm="1">
        <f t="array" ref="C24">INDEX($W$4:$W$7,RANDBETWEEN(1,4))</f>
        <v>B</v>
      </c>
      <c r="D24" t="str" s="79" cm="1">
        <f t="array" ref="D24">INDEX($X$4:$X$6,RANDBETWEEN(1,3))</f>
        <v>Tech</v>
      </c>
      <c r="E24" s="80" cm="1">
        <f t="array" ref="E24">MROUND(RANDBETWEEN(5000,50000000),1000)</f>
        <v>48107000</v>
      </c>
      <c r="F24" s="81" cm="1">
        <f t="array" ref="F24">RANDBETWEEN(1,6)</f>
        <v>6</v>
      </c>
      <c r="G24" s="81" cm="1">
        <f t="array" ref="G24">IF(OR(,C23="A",C23="BBB"),1,2)</f>
        <v>2</v>
      </c>
      <c r="H24" s="82" cm="1">
        <f t="array" ref="H24">_xlfn.XLOOKUP(D24,'R_P'!$E$2:$E$4,'R_P'!$G$2:$G$4)</f>
        <v>0.3</v>
      </c>
      <c r="I24" s="91" cm="1">
        <f t="array" ref="I24">_xlfn.XLOOKUP(C24,'R_P'!$B$2:$B$5,'R_P'!$C$2:$C$5)</f>
        <v>0.08</v>
      </c>
      <c r="J24" s="83" cm="1">
        <f t="array" ref="J24">1-(1-I24)^F24</f>
        <v>0.393644998656</v>
      </c>
      <c r="K24" s="84" cm="1">
        <f t="array" ref="K24">IF(G24=1,I24*H24*E24,J24*H24*E24)</f>
        <v>5681123.98510326</v>
      </c>
      <c r="L24" s="91" cm="1">
        <f t="array" ref="L24">I24*'R_P'!$J$3</f>
        <v>0.12</v>
      </c>
      <c r="M24" s="83" cm="1">
        <f t="array" ref="M24">1-(1-L24)^F24</f>
        <v>0.535595913216</v>
      </c>
      <c r="N24" s="84" cm="1">
        <f t="array" ref="N24">IF(G24=1,L24*H24*E24,M24*H24*E24)</f>
        <v>7729773.77912463</v>
      </c>
      <c r="O24" s="82" cm="1">
        <f t="array" ref="O24">L24*'R_P'!$J$4</f>
        <v>0.264</v>
      </c>
      <c r="P24" s="83" cm="1">
        <f t="array" ref="P24">1-(1-O24)^F24</f>
        <v>0.841047674527678</v>
      </c>
      <c r="Q24" s="84" cm="1">
        <f t="array" ref="Q24">IF(G24=1,O24*E24*H24,P24*E24*H24)</f>
        <v>12138084.1435509</v>
      </c>
      <c r="R24" s="86" cm="1">
        <f t="array" ref="R24">K24*'R_P'!$K$2+N24*'R_P'!$K$3+Q24*'R_P'!$K$4</f>
        <v>6941414.93915444</v>
      </c>
      <c r="S24" s="87"/>
      <c r="T24" s="79"/>
      <c r="U24" s="79"/>
      <c r="V24" s="79"/>
      <c r="W24" s="79"/>
      <c r="X24" s="79"/>
    </row>
    <row r="25" ht="22.35" customHeight="1">
      <c r="A25" s="77"/>
      <c r="B25" t="s" s="78">
        <v>63</v>
      </c>
      <c r="C25" t="str" s="79" cm="1">
        <f t="array" ref="C25">INDEX($W$4:$W$7,RANDBETWEEN(1,4))</f>
        <v>BBB</v>
      </c>
      <c r="D25" t="str" s="79" cm="1">
        <f t="array" ref="D25">INDEX($X$4:$X$6,RANDBETWEEN(1,3))</f>
        <v>Energy</v>
      </c>
      <c r="E25" s="80" cm="1">
        <f t="array" ref="E25">MROUND(RANDBETWEEN(5000,50000000),1000)</f>
        <v>20996000</v>
      </c>
      <c r="F25" s="81" cm="1">
        <f t="array" ref="F25">RANDBETWEEN(1,6)</f>
        <v>3</v>
      </c>
      <c r="G25" s="81" cm="1">
        <f t="array" ref="G25">IF(OR(,C24="A",C24="BBB"),1,2)</f>
        <v>2</v>
      </c>
      <c r="H25" s="82" cm="1">
        <f t="array" ref="H25">_xlfn.XLOOKUP(D25,'R_P'!$E$2:$E$4,'R_P'!$G$2:$G$4)</f>
        <v>0.5</v>
      </c>
      <c r="I25" s="82" cm="1">
        <f t="array" ref="I25">_xlfn.XLOOKUP(C25,'R_P'!$B$2:$B$5,'R_P'!$C$2:$C$5)</f>
        <v>0.015</v>
      </c>
      <c r="J25" s="83" cm="1">
        <f t="array" ref="J25">1-(1-I25)^F25</f>
        <v>0.0443283750000001</v>
      </c>
      <c r="K25" s="84" cm="1">
        <f t="array" ref="K25">IF(G25=1,I25*H25*E25,J25*H25*E25)</f>
        <v>465359.280750001</v>
      </c>
      <c r="L25" s="85" cm="1">
        <f t="array" ref="L25">I25*'R_P'!$J$3</f>
        <v>0.0225</v>
      </c>
      <c r="M25" s="83" cm="1">
        <f t="array" ref="M25">1-(1-L25)^F25</f>
        <v>0.0659926406249999</v>
      </c>
      <c r="N25" s="84" cm="1">
        <f t="array" ref="N25">IF(G25=1,L25*H25*E25,M25*H25*E25)</f>
        <v>692790.741281249</v>
      </c>
      <c r="O25" s="85" cm="1">
        <f t="array" ref="O25">L25*'R_P'!$J$4</f>
        <v>0.0495</v>
      </c>
      <c r="P25" s="83" cm="1">
        <f t="array" ref="P25">1-(1-O25)^F25</f>
        <v>0.141270537375</v>
      </c>
      <c r="Q25" s="84" cm="1">
        <f t="array" ref="Q25">IF(G25=1,O25*E25*H25,P25*E25*H25)</f>
        <v>1483058.10136275</v>
      </c>
      <c r="R25" s="86" cm="1">
        <f t="array" ref="R25">K25*'R_P'!$K$2+N25*'R_P'!$K$3+Q25*'R_P'!$K$4</f>
        <v>635358.60097065</v>
      </c>
      <c r="S25" s="87"/>
      <c r="T25" s="79"/>
      <c r="U25" s="79"/>
      <c r="V25" s="79"/>
      <c r="W25" s="79"/>
      <c r="X25" s="79"/>
    </row>
    <row r="26" ht="22.35" customHeight="1">
      <c r="A26" s="77"/>
      <c r="B26" t="s" s="78">
        <v>64</v>
      </c>
      <c r="C26" t="str" s="79" cm="1">
        <f t="array" ref="C26">INDEX($W$4:$W$7,RANDBETWEEN(1,4))</f>
        <v>A</v>
      </c>
      <c r="D26" t="str" s="79" cm="1">
        <f t="array" ref="D26">INDEX($X$4:$X$6,RANDBETWEEN(1,3))</f>
        <v>Retail</v>
      </c>
      <c r="E26" s="80" cm="1">
        <f t="array" ref="E26">MROUND(RANDBETWEEN(5000,50000000),1000)</f>
        <v>34443000</v>
      </c>
      <c r="F26" s="81" cm="1">
        <f t="array" ref="F26">RANDBETWEEN(1,6)</f>
        <v>4</v>
      </c>
      <c r="G26" s="81" cm="1">
        <f t="array" ref="G26">IF(OR(,C25="A",C25="BBB"),1,2)</f>
        <v>1</v>
      </c>
      <c r="H26" s="91" cm="1">
        <f t="array" ref="H26">_xlfn.XLOOKUP(D26,'R_P'!$E$2:$E$4,'R_P'!$G$2:$G$4)</f>
        <v>1</v>
      </c>
      <c r="I26" s="82" cm="1">
        <f t="array" ref="I26">_xlfn.XLOOKUP(C26,'R_P'!$B$2:$B$5,'R_P'!$C$2:$C$5)</f>
        <v>0.005</v>
      </c>
      <c r="J26" s="83" cm="1">
        <f t="array" ref="J26">1-(1-I26)^F26</f>
        <v>0.0198504993750001</v>
      </c>
      <c r="K26" s="84" cm="1">
        <f t="array" ref="K26">IF(G26=1,I26*H26*E26,J26*H26*E26)</f>
        <v>172215</v>
      </c>
      <c r="L26" s="85" cm="1">
        <f t="array" ref="L26">I26*'R_P'!$J$3</f>
        <v>0.0075</v>
      </c>
      <c r="M26" s="83" cm="1">
        <f t="array" ref="M26">1-(1-L26)^F26</f>
        <v>0.0296641843359373</v>
      </c>
      <c r="N26" s="84" cm="1">
        <f t="array" ref="N26">IF(G26=1,L26*H26*E26,M26*H26*E26)</f>
        <v>258322.5</v>
      </c>
      <c r="O26" s="85" cm="1">
        <f t="array" ref="O26">L26*'R_P'!$J$4</f>
        <v>0.0165</v>
      </c>
      <c r="P26" s="83" cm="1">
        <f t="array" ref="P26">1-(1-O26)^F26</f>
        <v>0.0643843943799374</v>
      </c>
      <c r="Q26" s="84" cm="1">
        <f t="array" ref="Q26">IF(G26=1,O26*E26*H26,P26*E26*H26)</f>
        <v>568309.5</v>
      </c>
      <c r="R26" s="86" cm="1">
        <f t="array" ref="R26">K26*'R_P'!$K$2+N26*'R_P'!$K$3+Q26*'R_P'!$K$4</f>
        <v>237656.7</v>
      </c>
      <c r="S26" s="87"/>
      <c r="T26" s="79"/>
      <c r="U26" s="79"/>
      <c r="V26" s="79"/>
      <c r="W26" s="79"/>
      <c r="X26" s="79"/>
    </row>
    <row r="27" ht="22.35" customHeight="1">
      <c r="A27" s="77"/>
      <c r="B27" t="s" s="78">
        <v>65</v>
      </c>
      <c r="C27" t="str" s="79" cm="1">
        <f t="array" ref="C27">INDEX($W$4:$W$7,RANDBETWEEN(1,4))</f>
        <v>B</v>
      </c>
      <c r="D27" t="str" s="79" cm="1">
        <f t="array" ref="D27">INDEX($X$4:$X$6,RANDBETWEEN(1,3))</f>
        <v>Energy</v>
      </c>
      <c r="E27" s="80" cm="1">
        <f t="array" ref="E27">MROUND(RANDBETWEEN(5000,50000000),1000)</f>
        <v>16594000</v>
      </c>
      <c r="F27" s="81" cm="1">
        <f t="array" ref="F27">RANDBETWEEN(1,6)</f>
        <v>6</v>
      </c>
      <c r="G27" s="81" cm="1">
        <f t="array" ref="G27">IF(OR(,C26="A",C26="BBB"),1,2)</f>
        <v>1</v>
      </c>
      <c r="H27" s="82" cm="1">
        <f t="array" ref="H27">_xlfn.XLOOKUP(D27,'R_P'!$E$2:$E$4,'R_P'!$G$2:$G$4)</f>
        <v>0.5</v>
      </c>
      <c r="I27" s="91" cm="1">
        <f t="array" ref="I27">_xlfn.XLOOKUP(C27,'R_P'!$B$2:$B$5,'R_P'!$C$2:$C$5)</f>
        <v>0.08</v>
      </c>
      <c r="J27" s="83" cm="1">
        <f t="array" ref="J27">1-(1-I27)^F27</f>
        <v>0.393644998656</v>
      </c>
      <c r="K27" s="84" cm="1">
        <f t="array" ref="K27">IF(G27=1,I27*H27*E27,J27*H27*E27)</f>
        <v>663760</v>
      </c>
      <c r="L27" s="91" cm="1">
        <f t="array" ref="L27">I27*'R_P'!$J$3</f>
        <v>0.12</v>
      </c>
      <c r="M27" s="83" cm="1">
        <f t="array" ref="M27">1-(1-L27)^F27</f>
        <v>0.535595913216</v>
      </c>
      <c r="N27" s="84" cm="1">
        <f t="array" ref="N27">IF(G27=1,L27*H27*E27,M27*H27*E27)</f>
        <v>995640</v>
      </c>
      <c r="O27" s="82" cm="1">
        <f t="array" ref="O27">L27*'R_P'!$J$4</f>
        <v>0.264</v>
      </c>
      <c r="P27" s="83" cm="1">
        <f t="array" ref="P27">1-(1-O27)^F27</f>
        <v>0.841047674527678</v>
      </c>
      <c r="Q27" s="84" cm="1">
        <f t="array" ref="Q27">IF(G27=1,O27*E27*H27,P27*E27*H27)</f>
        <v>2190408</v>
      </c>
      <c r="R27" s="86" cm="1">
        <f t="array" ref="R27">K27*'R_P'!$K$2+N27*'R_P'!$K$3+Q27*'R_P'!$K$4</f>
        <v>915988.8</v>
      </c>
      <c r="S27" s="87"/>
      <c r="T27" s="79"/>
      <c r="U27" s="79"/>
      <c r="V27" s="79"/>
      <c r="W27" s="79"/>
      <c r="X27" s="79"/>
    </row>
    <row r="28" ht="22.35" customHeight="1">
      <c r="A28" s="77"/>
      <c r="B28" t="s" s="78">
        <v>66</v>
      </c>
      <c r="C28" t="str" s="79" cm="1">
        <f t="array" ref="C28">INDEX($W$4:$W$7,RANDBETWEEN(1,4))</f>
        <v>BBB</v>
      </c>
      <c r="D28" t="str" s="79" cm="1">
        <f t="array" ref="D28">INDEX($X$4:$X$6,RANDBETWEEN(1,3))</f>
        <v>Tech</v>
      </c>
      <c r="E28" s="80" cm="1">
        <f t="array" ref="E28">MROUND(RANDBETWEEN(5000,50000000),1000)</f>
        <v>32545000</v>
      </c>
      <c r="F28" s="81" cm="1">
        <f t="array" ref="F28">RANDBETWEEN(1,6)</f>
        <v>2</v>
      </c>
      <c r="G28" s="81" cm="1">
        <f t="array" ref="G28">IF(OR(,C27="A",C27="BBB"),1,2)</f>
        <v>2</v>
      </c>
      <c r="H28" s="82" cm="1">
        <f t="array" ref="H28">_xlfn.XLOOKUP(D28,'R_P'!$E$2:$E$4,'R_P'!$G$2:$G$4)</f>
        <v>0.3</v>
      </c>
      <c r="I28" s="82" cm="1">
        <f t="array" ref="I28">_xlfn.XLOOKUP(C28,'R_P'!$B$2:$B$5,'R_P'!$C$2:$C$5)</f>
        <v>0.015</v>
      </c>
      <c r="J28" s="83" cm="1">
        <f t="array" ref="J28">1-(1-I28)^F28</f>
        <v>0.029775</v>
      </c>
      <c r="K28" s="84" cm="1">
        <f t="array" ref="K28">IF(G28=1,I28*H28*E28,J28*H28*E28)</f>
        <v>290708.2125</v>
      </c>
      <c r="L28" s="85" cm="1">
        <f t="array" ref="L28">I28*'R_P'!$J$3</f>
        <v>0.0225</v>
      </c>
      <c r="M28" s="83" cm="1">
        <f t="array" ref="M28">1-(1-L28)^F28</f>
        <v>0.0444937499999999</v>
      </c>
      <c r="N28" s="84" cm="1">
        <f t="array" ref="N28">IF(G28=1,L28*H28*E28,M28*H28*E28)</f>
        <v>434414.728124999</v>
      </c>
      <c r="O28" s="85" cm="1">
        <f t="array" ref="O28">L28*'R_P'!$J$4</f>
        <v>0.0495</v>
      </c>
      <c r="P28" s="83" cm="1">
        <f t="array" ref="P28">1-(1-O28)^F28</f>
        <v>0.09654975</v>
      </c>
      <c r="Q28" s="84" cm="1">
        <f t="array" ref="Q28">IF(G28=1,O28*E28*H28,P28*E28*H28)</f>
        <v>942663.484125</v>
      </c>
      <c r="R28" s="86" cm="1">
        <f t="array" ref="R28">K28*'R_P'!$K$2+N28*'R_P'!$K$3+Q28*'R_P'!$K$4</f>
        <v>399015.69435</v>
      </c>
      <c r="S28" s="87"/>
      <c r="T28" s="79"/>
      <c r="U28" s="79"/>
      <c r="V28" s="79"/>
      <c r="W28" s="79"/>
      <c r="X28" s="79"/>
    </row>
    <row r="29" ht="22.35" customHeight="1">
      <c r="A29" s="77"/>
      <c r="B29" t="s" s="78">
        <v>67</v>
      </c>
      <c r="C29" t="str" s="79" cm="1">
        <f t="array" ref="C29">INDEX($W$4:$W$7,RANDBETWEEN(1,4))</f>
        <v>BB</v>
      </c>
      <c r="D29" t="str" s="79" cm="1">
        <f t="array" ref="D29">INDEX($X$4:$X$6,RANDBETWEEN(1,3))</f>
        <v>Energy</v>
      </c>
      <c r="E29" s="80" cm="1">
        <f t="array" ref="E29">MROUND(RANDBETWEEN(5000,50000000),1000)</f>
        <v>47182000</v>
      </c>
      <c r="F29" s="81" cm="1">
        <f t="array" ref="F29">RANDBETWEEN(1,6)</f>
        <v>3</v>
      </c>
      <c r="G29" s="81" cm="1">
        <f t="array" ref="G29">IF(OR(,C28="A",C28="BBB"),1,2)</f>
        <v>1</v>
      </c>
      <c r="H29" s="82" cm="1">
        <f t="array" ref="H29">_xlfn.XLOOKUP(D29,'R_P'!$E$2:$E$4,'R_P'!$G$2:$G$4)</f>
        <v>0.5</v>
      </c>
      <c r="I29" s="91" cm="1">
        <f t="array" ref="I29">_xlfn.XLOOKUP(C29,'R_P'!$B$2:$B$5,'R_P'!$C$2:$C$5)</f>
        <v>0.04</v>
      </c>
      <c r="J29" s="83" cm="1">
        <f t="array" ref="J29">1-(1-I29)^F29</f>
        <v>0.115264</v>
      </c>
      <c r="K29" s="84" cm="1">
        <f t="array" ref="K29">IF(G29=1,I29*H29*E29,J29*H29*E29)</f>
        <v>943640</v>
      </c>
      <c r="L29" s="91" cm="1">
        <f t="array" ref="L29">I29*'R_P'!$J$3</f>
        <v>0.06</v>
      </c>
      <c r="M29" s="83" cm="1">
        <f t="array" ref="M29">1-(1-L29)^F29</f>
        <v>0.169416</v>
      </c>
      <c r="N29" s="84" cm="1">
        <f t="array" ref="N29">IF(G29=1,L29*H29*E29,M29*H29*E29)</f>
        <v>1415460</v>
      </c>
      <c r="O29" s="82" cm="1">
        <f t="array" ref="O29">L29*'R_P'!$J$4</f>
        <v>0.132</v>
      </c>
      <c r="P29" s="83" cm="1">
        <f t="array" ref="P29">1-(1-O29)^F29</f>
        <v>0.346027968</v>
      </c>
      <c r="Q29" s="84" cm="1">
        <f t="array" ref="Q29">IF(G29=1,O29*E29*H29,P29*E29*H29)</f>
        <v>3114012</v>
      </c>
      <c r="R29" s="86" cm="1">
        <f t="array" ref="R29">K29*'R_P'!$K$2+N29*'R_P'!$K$3+Q29*'R_P'!$K$4</f>
        <v>1302223.2</v>
      </c>
      <c r="S29" s="87"/>
      <c r="T29" s="79"/>
      <c r="U29" s="79"/>
      <c r="V29" s="79"/>
      <c r="W29" s="79"/>
      <c r="X29" s="79"/>
    </row>
    <row r="30" ht="22.35" customHeight="1">
      <c r="A30" s="77"/>
      <c r="B30" t="s" s="78">
        <v>68</v>
      </c>
      <c r="C30" t="str" s="79" cm="1">
        <f t="array" ref="C30">INDEX($W$4:$W$7,RANDBETWEEN(1,4))</f>
        <v>BBB</v>
      </c>
      <c r="D30" t="str" s="79" cm="1">
        <f t="array" ref="D30">INDEX($X$4:$X$6,RANDBETWEEN(1,3))</f>
        <v>Retail</v>
      </c>
      <c r="E30" s="80" cm="1">
        <f t="array" ref="E30">MROUND(RANDBETWEEN(5000,50000000),1000)</f>
        <v>19530000</v>
      </c>
      <c r="F30" s="81" cm="1">
        <f t="array" ref="F30">RANDBETWEEN(1,6)</f>
        <v>5</v>
      </c>
      <c r="G30" s="81" cm="1">
        <f t="array" ref="G30">IF(OR(,C29="A",C29="BBB"),1,2)</f>
        <v>2</v>
      </c>
      <c r="H30" s="91" cm="1">
        <f t="array" ref="H30">_xlfn.XLOOKUP(D30,'R_P'!$E$2:$E$4,'R_P'!$G$2:$G$4)</f>
        <v>1</v>
      </c>
      <c r="I30" s="82" cm="1">
        <f t="array" ref="I30">_xlfn.XLOOKUP(C30,'R_P'!$B$2:$B$5,'R_P'!$C$2:$C$5)</f>
        <v>0.015</v>
      </c>
      <c r="J30" s="83" cm="1">
        <f t="array" ref="J30">1-(1-I30)^F30</f>
        <v>0.0727834976343751</v>
      </c>
      <c r="K30" s="84" cm="1">
        <f t="array" ref="K30">IF(G30=1,I30*H30*E30,J30*H30*E30)</f>
        <v>1421461.70879935</v>
      </c>
      <c r="L30" s="85" cm="1">
        <f t="array" ref="L30">I30*'R_P'!$J$3</f>
        <v>0.0225</v>
      </c>
      <c r="M30" s="83" cm="1">
        <f t="array" ref="M30">1-(1-L30)^F30</f>
        <v>0.107550130571191</v>
      </c>
      <c r="N30" s="84" cm="1">
        <f t="array" ref="N30">IF(G30=1,L30*H30*E30,M30*H30*E30)</f>
        <v>2100454.05005536</v>
      </c>
      <c r="O30" s="85" cm="1">
        <f t="array" ref="O30">L30*'R_P'!$J$4</f>
        <v>0.0495</v>
      </c>
      <c r="P30" s="83" cm="1">
        <f t="array" ref="P30">1-(1-O30)^F30</f>
        <v>0.224180652309078</v>
      </c>
      <c r="Q30" s="84" cm="1">
        <f t="array" ref="Q30">IF(G30=1,O30*E30*H30,P30*E30*H30)</f>
        <v>4378248.13959629</v>
      </c>
      <c r="R30" s="86" cm="1">
        <f t="array" ref="R30">K30*'R_P'!$K$2+N30*'R_P'!$K$3+Q30*'R_P'!$K$4</f>
        <v>1920838.05425585</v>
      </c>
      <c r="S30" s="87"/>
      <c r="T30" s="79"/>
      <c r="U30" s="79"/>
      <c r="V30" s="79"/>
      <c r="W30" s="79"/>
      <c r="X30" s="79"/>
    </row>
    <row r="31" ht="22.35" customHeight="1">
      <c r="A31" s="77"/>
      <c r="B31" t="s" s="78">
        <v>69</v>
      </c>
      <c r="C31" t="str" s="79" cm="1">
        <f t="array" ref="C31">INDEX($W$4:$W$7,RANDBETWEEN(1,4))</f>
        <v>A</v>
      </c>
      <c r="D31" t="str" s="79" cm="1">
        <f t="array" ref="D31">INDEX($X$4:$X$6,RANDBETWEEN(1,3))</f>
        <v>Energy</v>
      </c>
      <c r="E31" s="80" cm="1">
        <f t="array" ref="E31">MROUND(RANDBETWEEN(5000,50000000),1000)</f>
        <v>3953000</v>
      </c>
      <c r="F31" s="81" cm="1">
        <f t="array" ref="F31">RANDBETWEEN(1,6)</f>
        <v>4</v>
      </c>
      <c r="G31" s="81" cm="1">
        <f t="array" ref="G31">IF(OR(,C30="A",C30="BBB"),1,2)</f>
        <v>1</v>
      </c>
      <c r="H31" s="82" cm="1">
        <f t="array" ref="H31">_xlfn.XLOOKUP(D31,'R_P'!$E$2:$E$4,'R_P'!$G$2:$G$4)</f>
        <v>0.5</v>
      </c>
      <c r="I31" s="82" cm="1">
        <f t="array" ref="I31">_xlfn.XLOOKUP(C31,'R_P'!$B$2:$B$5,'R_P'!$C$2:$C$5)</f>
        <v>0.005</v>
      </c>
      <c r="J31" s="83" cm="1">
        <f t="array" ref="J31">1-(1-I31)^F31</f>
        <v>0.0198504993750001</v>
      </c>
      <c r="K31" s="84" cm="1">
        <f t="array" ref="K31">IF(G31=1,I31*H31*E31,J31*H31*E31)</f>
        <v>9882.5</v>
      </c>
      <c r="L31" s="85" cm="1">
        <f t="array" ref="L31">I31*'R_P'!$J$3</f>
        <v>0.0075</v>
      </c>
      <c r="M31" s="83" cm="1">
        <f t="array" ref="M31">1-(1-L31)^F31</f>
        <v>0.0296641843359373</v>
      </c>
      <c r="N31" s="84" cm="1">
        <f t="array" ref="N31">IF(G31=1,L31*H31*E31,M31*H31*E31)</f>
        <v>14823.75</v>
      </c>
      <c r="O31" s="85" cm="1">
        <f t="array" ref="O31">L31*'R_P'!$J$4</f>
        <v>0.0165</v>
      </c>
      <c r="P31" s="83" cm="1">
        <f t="array" ref="P31">1-(1-O31)^F31</f>
        <v>0.0643843943799374</v>
      </c>
      <c r="Q31" s="84" cm="1">
        <f t="array" ref="Q31">IF(G31=1,O31*E31*H31,P31*E31*H31)</f>
        <v>32612.25</v>
      </c>
      <c r="R31" s="86" cm="1">
        <f t="array" ref="R31">K31*'R_P'!$K$2+N31*'R_P'!$K$3+Q31*'R_P'!$K$4</f>
        <v>13637.85</v>
      </c>
      <c r="S31" s="87"/>
      <c r="T31" s="79"/>
      <c r="U31" s="79"/>
      <c r="V31" s="79"/>
      <c r="W31" s="79"/>
      <c r="X31" s="79"/>
    </row>
    <row r="32" ht="22.35" customHeight="1">
      <c r="A32" s="77"/>
      <c r="B32" t="s" s="78">
        <v>70</v>
      </c>
      <c r="C32" t="str" s="79" cm="1">
        <f t="array" ref="C32">INDEX($W$4:$W$7,RANDBETWEEN(1,4))</f>
        <v>A</v>
      </c>
      <c r="D32" t="str" s="79" cm="1">
        <f t="array" ref="D32">INDEX($X$4:$X$6,RANDBETWEEN(1,3))</f>
        <v>Tech</v>
      </c>
      <c r="E32" s="80" cm="1">
        <f t="array" ref="E32">MROUND(RANDBETWEEN(5000,50000000),1000)</f>
        <v>34290000</v>
      </c>
      <c r="F32" s="81" cm="1">
        <f t="array" ref="F32">RANDBETWEEN(1,6)</f>
        <v>3</v>
      </c>
      <c r="G32" s="81" cm="1">
        <f t="array" ref="G32">IF(OR(,C31="A",C31="BBB"),1,2)</f>
        <v>1</v>
      </c>
      <c r="H32" s="82" cm="1">
        <f t="array" ref="H32">_xlfn.XLOOKUP(D32,'R_P'!$E$2:$E$4,'R_P'!$G$2:$G$4)</f>
        <v>0.3</v>
      </c>
      <c r="I32" s="82" cm="1">
        <f t="array" ref="I32">_xlfn.XLOOKUP(C32,'R_P'!$B$2:$B$5,'R_P'!$C$2:$C$5)</f>
        <v>0.005</v>
      </c>
      <c r="J32" s="83" cm="1">
        <f t="array" ref="J32">1-(1-I32)^F32</f>
        <v>0.014925125</v>
      </c>
      <c r="K32" s="84" cm="1">
        <f t="array" ref="K32">IF(G32=1,I32*H32*E32,J32*H32*E32)</f>
        <v>51435</v>
      </c>
      <c r="L32" s="85" cm="1">
        <f t="array" ref="L32">I32*'R_P'!$J$3</f>
        <v>0.0075</v>
      </c>
      <c r="M32" s="83" cm="1">
        <f t="array" ref="M32">1-(1-L32)^F32</f>
        <v>0.0223316718749998</v>
      </c>
      <c r="N32" s="84" cm="1">
        <f t="array" ref="N32">IF(G32=1,L32*H32*E32,M32*H32*E32)</f>
        <v>77152.5</v>
      </c>
      <c r="O32" s="85" cm="1">
        <f t="array" ref="O32">L32*'R_P'!$J$4</f>
        <v>0.0165</v>
      </c>
      <c r="P32" s="83" cm="1">
        <f t="array" ref="P32">1-(1-O32)^F32</f>
        <v>0.0486877421249999</v>
      </c>
      <c r="Q32" s="84" cm="1">
        <f t="array" ref="Q32">IF(G32=1,O32*E32*H32,P32*E32*H32)</f>
        <v>169735.5</v>
      </c>
      <c r="R32" s="86" cm="1">
        <f t="array" ref="R32">K32*'R_P'!$K$2+N32*'R_P'!$K$3+Q32*'R_P'!$K$4</f>
        <v>70980.3</v>
      </c>
      <c r="S32" s="87"/>
      <c r="T32" s="79"/>
      <c r="U32" s="79"/>
      <c r="V32" s="79"/>
      <c r="W32" s="79"/>
      <c r="X32" s="79"/>
    </row>
    <row r="33" ht="22.35" customHeight="1">
      <c r="A33" s="77"/>
      <c r="B33" t="s" s="78">
        <v>71</v>
      </c>
      <c r="C33" t="str" s="79" cm="1">
        <f t="array" ref="C33">INDEX($W$4:$W$7,RANDBETWEEN(1,4))</f>
        <v>BBB</v>
      </c>
      <c r="D33" t="str" s="79" cm="1">
        <f t="array" ref="D33">INDEX($X$4:$X$6,RANDBETWEEN(1,3))</f>
        <v>Tech</v>
      </c>
      <c r="E33" s="80" cm="1">
        <f t="array" ref="E33">MROUND(RANDBETWEEN(5000,50000000),1000)</f>
        <v>37782000</v>
      </c>
      <c r="F33" s="81" cm="1">
        <f t="array" ref="F33">RANDBETWEEN(1,6)</f>
        <v>1</v>
      </c>
      <c r="G33" s="81" cm="1">
        <f t="array" ref="G33">IF(OR(,C32="A",C32="BBB"),1,2)</f>
        <v>1</v>
      </c>
      <c r="H33" s="82" cm="1">
        <f t="array" ref="H33">_xlfn.XLOOKUP(D33,'R_P'!$E$2:$E$4,'R_P'!$G$2:$G$4)</f>
        <v>0.3</v>
      </c>
      <c r="I33" s="82" cm="1">
        <f t="array" ref="I33">_xlfn.XLOOKUP(C33,'R_P'!$B$2:$B$5,'R_P'!$C$2:$C$5)</f>
        <v>0.015</v>
      </c>
      <c r="J33" s="83" cm="1">
        <f t="array" ref="J33">1-(1-I33)^F33</f>
        <v>0.015</v>
      </c>
      <c r="K33" s="84" cm="1">
        <f t="array" ref="K33">IF(G33=1,I33*H33*E33,J33*H33*E33)</f>
        <v>170019</v>
      </c>
      <c r="L33" s="85" cm="1">
        <f t="array" ref="L33">I33*'R_P'!$J$3</f>
        <v>0.0225</v>
      </c>
      <c r="M33" s="83" cm="1">
        <f t="array" ref="M33">1-(1-L33)^F33</f>
        <v>0.0225</v>
      </c>
      <c r="N33" s="84" cm="1">
        <f t="array" ref="N33">IF(G33=1,L33*H33*E33,M33*H33*E33)</f>
        <v>255028.5</v>
      </c>
      <c r="O33" s="85" cm="1">
        <f t="array" ref="O33">L33*'R_P'!$J$4</f>
        <v>0.0495</v>
      </c>
      <c r="P33" s="83" cm="1">
        <f t="array" ref="P33">1-(1-O33)^F33</f>
        <v>0.0495</v>
      </c>
      <c r="Q33" s="84" cm="1">
        <f t="array" ref="Q33">IF(G33=1,O33*E33*H33,P33*E33*H33)</f>
        <v>561062.7</v>
      </c>
      <c r="R33" s="86" cm="1">
        <f t="array" ref="R33">K33*'R_P'!$K$2+N33*'R_P'!$K$3+Q33*'R_P'!$K$4</f>
        <v>234626.22</v>
      </c>
      <c r="S33" s="87"/>
      <c r="T33" s="79"/>
      <c r="U33" s="79"/>
      <c r="V33" s="79"/>
      <c r="W33" s="79"/>
      <c r="X33" s="79"/>
    </row>
    <row r="34" ht="22.35" customHeight="1">
      <c r="A34" s="77"/>
      <c r="B34" t="s" s="78">
        <v>72</v>
      </c>
      <c r="C34" t="str" s="79" cm="1">
        <f t="array" ref="C34">INDEX($W$4:$W$7,RANDBETWEEN(1,4))</f>
        <v>BBB</v>
      </c>
      <c r="D34" t="str" s="79" cm="1">
        <f t="array" ref="D34">INDEX($X$4:$X$6,RANDBETWEEN(1,3))</f>
        <v>Tech</v>
      </c>
      <c r="E34" s="80" cm="1">
        <f t="array" ref="E34">MROUND(RANDBETWEEN(5000,50000000),1000)</f>
        <v>1974000</v>
      </c>
      <c r="F34" s="81" cm="1">
        <f t="array" ref="F34">RANDBETWEEN(1,6)</f>
        <v>1</v>
      </c>
      <c r="G34" s="81" cm="1">
        <f t="array" ref="G34">IF(OR(,C33="A",C33="BBB"),1,2)</f>
        <v>1</v>
      </c>
      <c r="H34" s="82" cm="1">
        <f t="array" ref="H34">_xlfn.XLOOKUP(D34,'R_P'!$E$2:$E$4,'R_P'!$G$2:$G$4)</f>
        <v>0.3</v>
      </c>
      <c r="I34" s="82" cm="1">
        <f t="array" ref="I34">_xlfn.XLOOKUP(C34,'R_P'!$B$2:$B$5,'R_P'!$C$2:$C$5)</f>
        <v>0.015</v>
      </c>
      <c r="J34" s="83" cm="1">
        <f t="array" ref="J34">1-(1-I34)^F34</f>
        <v>0.015</v>
      </c>
      <c r="K34" s="84" cm="1">
        <f t="array" ref="K34">IF(G34=1,I34*H34*E34,J34*H34*E34)</f>
        <v>8883</v>
      </c>
      <c r="L34" s="85" cm="1">
        <f t="array" ref="L34">I34*'R_P'!$J$3</f>
        <v>0.0225</v>
      </c>
      <c r="M34" s="83" cm="1">
        <f t="array" ref="M34">1-(1-L34)^F34</f>
        <v>0.0225</v>
      </c>
      <c r="N34" s="84" cm="1">
        <f t="array" ref="N34">IF(G34=1,L34*H34*E34,M34*H34*E34)</f>
        <v>13324.5</v>
      </c>
      <c r="O34" s="85" cm="1">
        <f t="array" ref="O34">L34*'R_P'!$J$4</f>
        <v>0.0495</v>
      </c>
      <c r="P34" s="83" cm="1">
        <f t="array" ref="P34">1-(1-O34)^F34</f>
        <v>0.0495</v>
      </c>
      <c r="Q34" s="84" cm="1">
        <f t="array" ref="Q34">IF(G34=1,O34*E34*H34,P34*E34*H34)</f>
        <v>29313.9</v>
      </c>
      <c r="R34" s="86" cm="1">
        <f t="array" ref="R34">K34*'R_P'!$K$2+N34*'R_P'!$K$3+Q34*'R_P'!$K$4</f>
        <v>12258.54</v>
      </c>
      <c r="S34" s="87"/>
      <c r="T34" s="79"/>
      <c r="U34" s="79"/>
      <c r="V34" s="79"/>
      <c r="W34" s="79"/>
      <c r="X34" s="79"/>
    </row>
    <row r="35" ht="22.35" customHeight="1">
      <c r="A35" s="77"/>
      <c r="B35" t="s" s="78">
        <v>73</v>
      </c>
      <c r="C35" t="str" s="79" cm="1">
        <f t="array" ref="C35">INDEX($W$4:$W$7,RANDBETWEEN(1,4))</f>
        <v>BBB</v>
      </c>
      <c r="D35" t="str" s="79" cm="1">
        <f t="array" ref="D35">INDEX($X$4:$X$6,RANDBETWEEN(1,3))</f>
        <v>Tech</v>
      </c>
      <c r="E35" s="80" cm="1">
        <f t="array" ref="E35">MROUND(RANDBETWEEN(5000,50000000),1000)</f>
        <v>11400000</v>
      </c>
      <c r="F35" s="81" cm="1">
        <f t="array" ref="F35">RANDBETWEEN(1,6)</f>
        <v>4</v>
      </c>
      <c r="G35" s="81" cm="1">
        <f t="array" ref="G35">IF(OR(,C34="A",C34="BBB"),1,2)</f>
        <v>1</v>
      </c>
      <c r="H35" s="82" cm="1">
        <f t="array" ref="H35">_xlfn.XLOOKUP(D35,'R_P'!$E$2:$E$4,'R_P'!$G$2:$G$4)</f>
        <v>0.3</v>
      </c>
      <c r="I35" s="82" cm="1">
        <f t="array" ref="I35">_xlfn.XLOOKUP(C35,'R_P'!$B$2:$B$5,'R_P'!$C$2:$C$5)</f>
        <v>0.015</v>
      </c>
      <c r="J35" s="83" cm="1">
        <f t="array" ref="J35">1-(1-I35)^F35</f>
        <v>0.058663449375</v>
      </c>
      <c r="K35" s="84" cm="1">
        <f t="array" ref="K35">IF(G35=1,I35*H35*E35,J35*H35*E35)</f>
        <v>51300</v>
      </c>
      <c r="L35" s="85" cm="1">
        <f t="array" ref="L35">I35*'R_P'!$J$3</f>
        <v>0.0225</v>
      </c>
      <c r="M35" s="83" cm="1">
        <f t="array" ref="M35">1-(1-L35)^F35</f>
        <v>0.0870078062109374</v>
      </c>
      <c r="N35" s="84" cm="1">
        <f t="array" ref="N35">IF(G35=1,L35*H35*E35,M35*H35*E35)</f>
        <v>76950</v>
      </c>
      <c r="O35" s="85" cm="1">
        <f t="array" ref="O35">L35*'R_P'!$J$4</f>
        <v>0.0495</v>
      </c>
      <c r="P35" s="83" cm="1">
        <f t="array" ref="P35">1-(1-O35)^F35</f>
        <v>0.183777645774937</v>
      </c>
      <c r="Q35" s="84" cm="1">
        <f t="array" ref="Q35">IF(G35=1,O35*E35*H35,P35*E35*H35)</f>
        <v>169290</v>
      </c>
      <c r="R35" s="86" cm="1">
        <f t="array" ref="R35">K35*'R_P'!$K$2+N35*'R_P'!$K$3+Q35*'R_P'!$K$4</f>
        <v>70794</v>
      </c>
      <c r="S35" s="87"/>
      <c r="T35" s="79"/>
      <c r="U35" s="79"/>
      <c r="V35" s="79"/>
      <c r="W35" s="79"/>
      <c r="X35" s="79"/>
    </row>
    <row r="36" ht="22.35" customHeight="1">
      <c r="A36" s="77"/>
      <c r="B36" t="s" s="78">
        <v>74</v>
      </c>
      <c r="C36" t="str" s="79" cm="1">
        <f t="array" ref="C36">INDEX($W$4:$W$7,RANDBETWEEN(1,4))</f>
        <v>A</v>
      </c>
      <c r="D36" t="str" s="79" cm="1">
        <f t="array" ref="D36">INDEX($X$4:$X$6,RANDBETWEEN(1,3))</f>
        <v>Energy</v>
      </c>
      <c r="E36" s="80" cm="1">
        <f t="array" ref="E36">MROUND(RANDBETWEEN(5000,50000000),1000)</f>
        <v>1913000</v>
      </c>
      <c r="F36" s="81" cm="1">
        <f t="array" ref="F36">RANDBETWEEN(1,6)</f>
        <v>1</v>
      </c>
      <c r="G36" s="81" cm="1">
        <f t="array" ref="G36">IF(OR(,C35="A",C35="BBB"),1,2)</f>
        <v>1</v>
      </c>
      <c r="H36" s="82" cm="1">
        <f t="array" ref="H36">_xlfn.XLOOKUP(D36,'R_P'!$E$2:$E$4,'R_P'!$G$2:$G$4)</f>
        <v>0.5</v>
      </c>
      <c r="I36" s="82" cm="1">
        <f t="array" ref="I36">_xlfn.XLOOKUP(C36,'R_P'!$B$2:$B$5,'R_P'!$C$2:$C$5)</f>
        <v>0.005</v>
      </c>
      <c r="J36" s="83" cm="1">
        <f t="array" ref="J36">1-(1-I36)^F36</f>
        <v>0.005</v>
      </c>
      <c r="K36" s="84" cm="1">
        <f t="array" ref="K36">IF(G36=1,I36*H36*E36,J36*H36*E36)</f>
        <v>4782.5</v>
      </c>
      <c r="L36" s="85" cm="1">
        <f t="array" ref="L36">I36*'R_P'!$J$3</f>
        <v>0.0075</v>
      </c>
      <c r="M36" s="83" cm="1">
        <f t="array" ref="M36">1-(1-L36)^F36</f>
        <v>0.00749999999999995</v>
      </c>
      <c r="N36" s="84" cm="1">
        <f t="array" ref="N36">IF(G36=1,L36*H36*E36,M36*H36*E36)</f>
        <v>7173.75</v>
      </c>
      <c r="O36" s="85" cm="1">
        <f t="array" ref="O36">L36*'R_P'!$J$4</f>
        <v>0.0165</v>
      </c>
      <c r="P36" s="83" cm="1">
        <f t="array" ref="P36">1-(1-O36)^F36</f>
        <v>0.0165</v>
      </c>
      <c r="Q36" s="84" cm="1">
        <f t="array" ref="Q36">IF(G36=1,O36*E36*H36,P36*E36*H36)</f>
        <v>15782.25</v>
      </c>
      <c r="R36" s="86" cm="1">
        <f t="array" ref="R36">K36*'R_P'!$K$2+N36*'R_P'!$K$3+Q36*'R_P'!$K$4</f>
        <v>6599.85</v>
      </c>
      <c r="S36" s="87"/>
      <c r="T36" s="79"/>
      <c r="U36" s="79"/>
      <c r="V36" s="79"/>
      <c r="W36" s="79"/>
      <c r="X36" s="79"/>
    </row>
    <row r="37" ht="22.35" customHeight="1">
      <c r="A37" s="77"/>
      <c r="B37" t="s" s="78">
        <v>75</v>
      </c>
      <c r="C37" t="str" s="79" cm="1">
        <f t="array" ref="C37">INDEX($W$4:$W$7,RANDBETWEEN(1,4))</f>
        <v>BBB</v>
      </c>
      <c r="D37" t="str" s="79" cm="1">
        <f t="array" ref="D37">INDEX($X$4:$X$6,RANDBETWEEN(1,3))</f>
        <v>Tech</v>
      </c>
      <c r="E37" s="80" cm="1">
        <f t="array" ref="E37">MROUND(RANDBETWEEN(5000,50000000),1000)</f>
        <v>12008000</v>
      </c>
      <c r="F37" s="81" cm="1">
        <f t="array" ref="F37">RANDBETWEEN(1,6)</f>
        <v>1</v>
      </c>
      <c r="G37" s="81" cm="1">
        <f t="array" ref="G37">IF(OR(,C36="A",C36="BBB"),1,2)</f>
        <v>1</v>
      </c>
      <c r="H37" s="82" cm="1">
        <f t="array" ref="H37">_xlfn.XLOOKUP(D37,'R_P'!$E$2:$E$4,'R_P'!$G$2:$G$4)</f>
        <v>0.3</v>
      </c>
      <c r="I37" s="82" cm="1">
        <f t="array" ref="I37">_xlfn.XLOOKUP(C37,'R_P'!$B$2:$B$5,'R_P'!$C$2:$C$5)</f>
        <v>0.015</v>
      </c>
      <c r="J37" s="83" cm="1">
        <f t="array" ref="J37">1-(1-I37)^F37</f>
        <v>0.015</v>
      </c>
      <c r="K37" s="84" cm="1">
        <f t="array" ref="K37">IF(G37=1,I37*H37*E37,J37*H37*E37)</f>
        <v>54036</v>
      </c>
      <c r="L37" s="85" cm="1">
        <f t="array" ref="L37">I37*'R_P'!$J$3</f>
        <v>0.0225</v>
      </c>
      <c r="M37" s="83" cm="1">
        <f t="array" ref="M37">1-(1-L37)^F37</f>
        <v>0.0225</v>
      </c>
      <c r="N37" s="84" cm="1">
        <f t="array" ref="N37">IF(G37=1,L37*H37*E37,M37*H37*E37)</f>
        <v>81054</v>
      </c>
      <c r="O37" s="85" cm="1">
        <f t="array" ref="O37">L37*'R_P'!$J$4</f>
        <v>0.0495</v>
      </c>
      <c r="P37" s="83" cm="1">
        <f t="array" ref="P37">1-(1-O37)^F37</f>
        <v>0.0495</v>
      </c>
      <c r="Q37" s="84" cm="1">
        <f t="array" ref="Q37">IF(G37=1,O37*E37*H37,P37*E37*H37)</f>
        <v>178318.8</v>
      </c>
      <c r="R37" s="86" cm="1">
        <f t="array" ref="R37">K37*'R_P'!$K$2+N37*'R_P'!$K$3+Q37*'R_P'!$K$4</f>
        <v>74569.679999999993</v>
      </c>
      <c r="S37" s="87"/>
      <c r="T37" s="79"/>
      <c r="U37" s="79"/>
      <c r="V37" s="79"/>
      <c r="W37" s="79"/>
      <c r="X37" s="79"/>
    </row>
    <row r="38" ht="22.35" customHeight="1">
      <c r="A38" s="77"/>
      <c r="B38" t="s" s="78">
        <v>76</v>
      </c>
      <c r="C38" t="str" s="79" cm="1">
        <f t="array" ref="C38">INDEX($W$4:$W$7,RANDBETWEEN(1,4))</f>
        <v>A</v>
      </c>
      <c r="D38" t="str" s="79" cm="1">
        <f t="array" ref="D38">INDEX($X$4:$X$6,RANDBETWEEN(1,3))</f>
        <v>Tech</v>
      </c>
      <c r="E38" s="80" cm="1">
        <f t="array" ref="E38">MROUND(RANDBETWEEN(5000,50000000),1000)</f>
        <v>26279000</v>
      </c>
      <c r="F38" s="81" cm="1">
        <f t="array" ref="F38">RANDBETWEEN(1,6)</f>
        <v>4</v>
      </c>
      <c r="G38" s="81" cm="1">
        <f t="array" ref="G38">IF(OR(,C37="A",C37="BBB"),1,2)</f>
        <v>1</v>
      </c>
      <c r="H38" s="82" cm="1">
        <f t="array" ref="H38">_xlfn.XLOOKUP(D38,'R_P'!$E$2:$E$4,'R_P'!$G$2:$G$4)</f>
        <v>0.3</v>
      </c>
      <c r="I38" s="82" cm="1">
        <f t="array" ref="I38">_xlfn.XLOOKUP(C38,'R_P'!$B$2:$B$5,'R_P'!$C$2:$C$5)</f>
        <v>0.005</v>
      </c>
      <c r="J38" s="83" cm="1">
        <f t="array" ref="J38">1-(1-I38)^F38</f>
        <v>0.0198504993750001</v>
      </c>
      <c r="K38" s="84" cm="1">
        <f t="array" ref="K38">IF(G38=1,I38*H38*E38,J38*H38*E38)</f>
        <v>39418.5</v>
      </c>
      <c r="L38" s="85" cm="1">
        <f t="array" ref="L38">I38*'R_P'!$J$3</f>
        <v>0.0075</v>
      </c>
      <c r="M38" s="83" cm="1">
        <f t="array" ref="M38">1-(1-L38)^F38</f>
        <v>0.0296641843359373</v>
      </c>
      <c r="N38" s="84" cm="1">
        <f t="array" ref="N38">IF(G38=1,L38*H38*E38,M38*H38*E38)</f>
        <v>59127.75</v>
      </c>
      <c r="O38" s="85" cm="1">
        <f t="array" ref="O38">L38*'R_P'!$J$4</f>
        <v>0.0165</v>
      </c>
      <c r="P38" s="83" cm="1">
        <f t="array" ref="P38">1-(1-O38)^F38</f>
        <v>0.0643843943799374</v>
      </c>
      <c r="Q38" s="84" cm="1">
        <f t="array" ref="Q38">IF(G38=1,O38*E38*H38,P38*E38*H38)</f>
        <v>130081.05</v>
      </c>
      <c r="R38" s="86" cm="1">
        <f t="array" ref="R38">K38*'R_P'!$K$2+N38*'R_P'!$K$3+Q38*'R_P'!$K$4</f>
        <v>54397.53</v>
      </c>
      <c r="S38" s="87"/>
      <c r="T38" s="79"/>
      <c r="U38" s="79"/>
      <c r="V38" s="79"/>
      <c r="W38" s="79"/>
      <c r="X38" s="79"/>
    </row>
    <row r="39" ht="22.35" customHeight="1">
      <c r="A39" s="77"/>
      <c r="B39" t="s" s="78">
        <v>77</v>
      </c>
      <c r="C39" t="str" s="79" cm="1">
        <f t="array" ref="C39">INDEX($W$4:$W$7,RANDBETWEEN(1,4))</f>
        <v>A</v>
      </c>
      <c r="D39" t="str" s="79" cm="1">
        <f t="array" ref="D39">INDEX($X$4:$X$6,RANDBETWEEN(1,3))</f>
        <v>Retail</v>
      </c>
      <c r="E39" s="80" cm="1">
        <f t="array" ref="E39">MROUND(RANDBETWEEN(5000,50000000),1000)</f>
        <v>47854000</v>
      </c>
      <c r="F39" s="81" cm="1">
        <f t="array" ref="F39">RANDBETWEEN(1,6)</f>
        <v>1</v>
      </c>
      <c r="G39" s="81" cm="1">
        <f t="array" ref="G39">IF(OR(,C38="A",C38="BBB"),1,2)</f>
        <v>1</v>
      </c>
      <c r="H39" s="91" cm="1">
        <f t="array" ref="H39">_xlfn.XLOOKUP(D39,'R_P'!$E$2:$E$4,'R_P'!$G$2:$G$4)</f>
        <v>1</v>
      </c>
      <c r="I39" s="82" cm="1">
        <f t="array" ref="I39">_xlfn.XLOOKUP(C39,'R_P'!$B$2:$B$5,'R_P'!$C$2:$C$5)</f>
        <v>0.005</v>
      </c>
      <c r="J39" s="83" cm="1">
        <f t="array" ref="J39">1-(1-I39)^F39</f>
        <v>0.005</v>
      </c>
      <c r="K39" s="84" cm="1">
        <f t="array" ref="K39">IF(G39=1,I39*H39*E39,J39*H39*E39)</f>
        <v>239270</v>
      </c>
      <c r="L39" s="85" cm="1">
        <f t="array" ref="L39">I39*'R_P'!$J$3</f>
        <v>0.0075</v>
      </c>
      <c r="M39" s="83" cm="1">
        <f t="array" ref="M39">1-(1-L39)^F39</f>
        <v>0.00749999999999995</v>
      </c>
      <c r="N39" s="84" cm="1">
        <f t="array" ref="N39">IF(G39=1,L39*H39*E39,M39*H39*E39)</f>
        <v>358905</v>
      </c>
      <c r="O39" s="85" cm="1">
        <f t="array" ref="O39">L39*'R_P'!$J$4</f>
        <v>0.0165</v>
      </c>
      <c r="P39" s="83" cm="1">
        <f t="array" ref="P39">1-(1-O39)^F39</f>
        <v>0.0165</v>
      </c>
      <c r="Q39" s="84" cm="1">
        <f t="array" ref="Q39">IF(G39=1,O39*E39*H39,P39*E39*H39)</f>
        <v>789591</v>
      </c>
      <c r="R39" s="86" cm="1">
        <f t="array" ref="R39">K39*'R_P'!$K$2+N39*'R_P'!$K$3+Q39*'R_P'!$K$4</f>
        <v>330192.6</v>
      </c>
      <c r="S39" s="87"/>
      <c r="T39" s="79"/>
      <c r="U39" s="79"/>
      <c r="V39" s="79"/>
      <c r="W39" s="79"/>
      <c r="X39" s="79"/>
    </row>
    <row r="40" ht="22.35" customHeight="1">
      <c r="A40" s="77"/>
      <c r="B40" t="s" s="78">
        <v>78</v>
      </c>
      <c r="C40" t="str" s="79" cm="1">
        <f t="array" ref="C40">INDEX($W$4:$W$7,RANDBETWEEN(1,4))</f>
        <v>B</v>
      </c>
      <c r="D40" t="str" s="79" cm="1">
        <f t="array" ref="D40">INDEX($X$4:$X$6,RANDBETWEEN(1,3))</f>
        <v>Energy</v>
      </c>
      <c r="E40" s="80" cm="1">
        <f t="array" ref="E40">MROUND(RANDBETWEEN(5000,50000000),1000)</f>
        <v>15365000</v>
      </c>
      <c r="F40" s="81" cm="1">
        <f t="array" ref="F40">RANDBETWEEN(1,6)</f>
        <v>1</v>
      </c>
      <c r="G40" s="81" cm="1">
        <f t="array" ref="G40">IF(OR(,C39="A",C39="BBB"),1,2)</f>
        <v>1</v>
      </c>
      <c r="H40" s="82" cm="1">
        <f t="array" ref="H40">_xlfn.XLOOKUP(D40,'R_P'!$E$2:$E$4,'R_P'!$G$2:$G$4)</f>
        <v>0.5</v>
      </c>
      <c r="I40" s="91" cm="1">
        <f t="array" ref="I40">_xlfn.XLOOKUP(C40,'R_P'!$B$2:$B$5,'R_P'!$C$2:$C$5)</f>
        <v>0.08</v>
      </c>
      <c r="J40" s="83" cm="1">
        <f t="array" ref="J40">1-(1-I40)^F40</f>
        <v>0.08</v>
      </c>
      <c r="K40" s="84" cm="1">
        <f t="array" ref="K40">IF(G40=1,I40*H40*E40,J40*H40*E40)</f>
        <v>614600</v>
      </c>
      <c r="L40" s="91" cm="1">
        <f t="array" ref="L40">I40*'R_P'!$J$3</f>
        <v>0.12</v>
      </c>
      <c r="M40" s="83" cm="1">
        <f t="array" ref="M40">1-(1-L40)^F40</f>
        <v>0.12</v>
      </c>
      <c r="N40" s="84" cm="1">
        <f t="array" ref="N40">IF(G40=1,L40*H40*E40,M40*H40*E40)</f>
        <v>921900</v>
      </c>
      <c r="O40" s="82" cm="1">
        <f t="array" ref="O40">L40*'R_P'!$J$4</f>
        <v>0.264</v>
      </c>
      <c r="P40" s="83" cm="1">
        <f t="array" ref="P40">1-(1-O40)^F40</f>
        <v>0.264</v>
      </c>
      <c r="Q40" s="84" cm="1">
        <f t="array" ref="Q40">IF(G40=1,O40*E40*H40,P40*E40*H40)</f>
        <v>2028180</v>
      </c>
      <c r="R40" s="86" cm="1">
        <f t="array" ref="R40">K40*'R_P'!$K$2+N40*'R_P'!$K$3+Q40*'R_P'!$K$4</f>
        <v>848148</v>
      </c>
      <c r="S40" s="87"/>
      <c r="T40" s="79"/>
      <c r="U40" s="79"/>
      <c r="V40" s="79"/>
      <c r="W40" s="79"/>
      <c r="X40" s="79"/>
    </row>
    <row r="41" ht="22.35" customHeight="1">
      <c r="A41" s="77"/>
      <c r="B41" t="s" s="78">
        <v>79</v>
      </c>
      <c r="C41" t="str" s="79" cm="1">
        <f t="array" ref="C41">INDEX($W$4:$W$7,RANDBETWEEN(1,4))</f>
        <v>B</v>
      </c>
      <c r="D41" t="str" s="79" cm="1">
        <f t="array" ref="D41">INDEX($X$4:$X$6,RANDBETWEEN(1,3))</f>
        <v>Retail</v>
      </c>
      <c r="E41" s="80" cm="1">
        <f t="array" ref="E41">MROUND(RANDBETWEEN(5000,50000000),1000)</f>
        <v>19355000</v>
      </c>
      <c r="F41" s="81" cm="1">
        <f t="array" ref="F41">RANDBETWEEN(1,6)</f>
        <v>6</v>
      </c>
      <c r="G41" s="81" cm="1">
        <f t="array" ref="G41">IF(OR(,C40="A",C40="BBB"),1,2)</f>
        <v>2</v>
      </c>
      <c r="H41" s="91" cm="1">
        <f t="array" ref="H41">_xlfn.XLOOKUP(D41,'R_P'!$E$2:$E$4,'R_P'!$G$2:$G$4)</f>
        <v>1</v>
      </c>
      <c r="I41" s="91" cm="1">
        <f t="array" ref="I41">_xlfn.XLOOKUP(C41,'R_P'!$B$2:$B$5,'R_P'!$C$2:$C$5)</f>
        <v>0.08</v>
      </c>
      <c r="J41" s="83" cm="1">
        <f t="array" ref="J41">1-(1-I41)^F41</f>
        <v>0.393644998656</v>
      </c>
      <c r="K41" s="84" cm="1">
        <f t="array" ref="K41">IF(G41=1,I41*H41*E41,J41*H41*E41)</f>
        <v>7618998.94898688</v>
      </c>
      <c r="L41" s="91" cm="1">
        <f t="array" ref="L41">I41*'R_P'!$J$3</f>
        <v>0.12</v>
      </c>
      <c r="M41" s="83" cm="1">
        <f t="array" ref="M41">1-(1-L41)^F41</f>
        <v>0.535595913216</v>
      </c>
      <c r="N41" s="84" cm="1">
        <f t="array" ref="N41">IF(G41=1,L41*H41*E41,M41*H41*E41)</f>
        <v>10366458.9002957</v>
      </c>
      <c r="O41" s="82" cm="1">
        <f t="array" ref="O41">L41*'R_P'!$J$4</f>
        <v>0.264</v>
      </c>
      <c r="P41" s="83" cm="1">
        <f t="array" ref="P41">1-(1-O41)^F41</f>
        <v>0.841047674527678</v>
      </c>
      <c r="Q41" s="84" cm="1">
        <f t="array" ref="Q41">IF(G41=1,O41*E41*H41,P41*E41*H41)</f>
        <v>16278477.7404832</v>
      </c>
      <c r="R41" s="86" cm="1">
        <f t="array" ref="R41">K41*'R_P'!$K$2+N41*'R_P'!$K$3+Q41*'R_P'!$K$4</f>
        <v>9309184.81352916</v>
      </c>
      <c r="S41" s="87"/>
      <c r="T41" s="79"/>
      <c r="U41" s="79"/>
      <c r="V41" s="79"/>
      <c r="W41" s="79"/>
      <c r="X41" s="79"/>
    </row>
    <row r="42" ht="22.35" customHeight="1">
      <c r="A42" s="77"/>
      <c r="B42" t="s" s="78">
        <v>80</v>
      </c>
      <c r="C42" t="str" s="79" cm="1">
        <f t="array" ref="C42">INDEX($W$4:$W$7,RANDBETWEEN(1,4))</f>
        <v>A</v>
      </c>
      <c r="D42" t="str" s="79" cm="1">
        <f t="array" ref="D42">INDEX($X$4:$X$6,RANDBETWEEN(1,3))</f>
        <v>Retail</v>
      </c>
      <c r="E42" s="80" cm="1">
        <f t="array" ref="E42">MROUND(RANDBETWEEN(5000,50000000),1000)</f>
        <v>10569000</v>
      </c>
      <c r="F42" s="81" cm="1">
        <f t="array" ref="F42">RANDBETWEEN(1,6)</f>
        <v>5</v>
      </c>
      <c r="G42" s="81" cm="1">
        <f t="array" ref="G42">IF(OR(,C41="A",C41="BBB"),1,2)</f>
        <v>2</v>
      </c>
      <c r="H42" s="91" cm="1">
        <f t="array" ref="H42">_xlfn.XLOOKUP(D42,'R_P'!$E$2:$E$4,'R_P'!$G$2:$G$4)</f>
        <v>1</v>
      </c>
      <c r="I42" s="82" cm="1">
        <f t="array" ref="I42">_xlfn.XLOOKUP(C42,'R_P'!$B$2:$B$5,'R_P'!$C$2:$C$5)</f>
        <v>0.005</v>
      </c>
      <c r="J42" s="83" cm="1">
        <f t="array" ref="J42">1-(1-I42)^F42</f>
        <v>0.024751246878125</v>
      </c>
      <c r="K42" s="84" cm="1">
        <f t="array" ref="K42">IF(G42=1,I42*H42*E42,J42*H42*E42)</f>
        <v>261595.928254903</v>
      </c>
      <c r="L42" s="85" cm="1">
        <f t="array" ref="L42">I42*'R_P'!$J$3</f>
        <v>0.0075</v>
      </c>
      <c r="M42" s="83" cm="1">
        <f t="array" ref="M42">1-(1-L42)^F42</f>
        <v>0.0369417029534177</v>
      </c>
      <c r="N42" s="84" cm="1">
        <f t="array" ref="N42">IF(G42=1,L42*H42*E42,M42*H42*E42)</f>
        <v>390436.858514672</v>
      </c>
      <c r="O42" s="85" cm="1">
        <f t="array" ref="O42">L42*'R_P'!$J$4</f>
        <v>0.0165</v>
      </c>
      <c r="P42" s="83" cm="1">
        <f t="array" ref="P42">1-(1-O42)^F42</f>
        <v>0.0798220518726683</v>
      </c>
      <c r="Q42" s="84" cm="1">
        <f t="array" ref="Q42">IF(G42=1,O42*E42*H42,P42*E42*H42)</f>
        <v>843639.266242231</v>
      </c>
      <c r="R42" s="86" cm="1">
        <f t="array" ref="R42">K42*'R_P'!$K$2+N42*'R_P'!$K$3+Q42*'R_P'!$K$4</f>
        <v>358452.541131567</v>
      </c>
      <c r="S42" s="87"/>
      <c r="T42" s="79"/>
      <c r="U42" s="79"/>
      <c r="V42" s="79"/>
      <c r="W42" s="79"/>
      <c r="X42" s="79"/>
    </row>
    <row r="43" ht="22.35" customHeight="1">
      <c r="A43" s="77"/>
      <c r="B43" t="s" s="78">
        <v>81</v>
      </c>
      <c r="C43" t="str" s="79" cm="1">
        <f t="array" ref="C43">INDEX($W$4:$W$7,RANDBETWEEN(1,4))</f>
        <v>BBB</v>
      </c>
      <c r="D43" t="str" s="79" cm="1">
        <f t="array" ref="D43">INDEX($X$4:$X$6,RANDBETWEEN(1,3))</f>
        <v>Tech</v>
      </c>
      <c r="E43" s="80" cm="1">
        <f t="array" ref="E43">MROUND(RANDBETWEEN(5000,50000000),1000)</f>
        <v>15955000</v>
      </c>
      <c r="F43" s="81" cm="1">
        <f t="array" ref="F43">RANDBETWEEN(1,6)</f>
        <v>4</v>
      </c>
      <c r="G43" s="81" cm="1">
        <f t="array" ref="G43">IF(OR(,C42="A",C42="BBB"),1,2)</f>
        <v>1</v>
      </c>
      <c r="H43" s="82" cm="1">
        <f t="array" ref="H43">_xlfn.XLOOKUP(D43,'R_P'!$E$2:$E$4,'R_P'!$G$2:$G$4)</f>
        <v>0.3</v>
      </c>
      <c r="I43" s="82" cm="1">
        <f t="array" ref="I43">_xlfn.XLOOKUP(C43,'R_P'!$B$2:$B$5,'R_P'!$C$2:$C$5)</f>
        <v>0.015</v>
      </c>
      <c r="J43" s="83" cm="1">
        <f t="array" ref="J43">1-(1-I43)^F43</f>
        <v>0.058663449375</v>
      </c>
      <c r="K43" s="84" cm="1">
        <f t="array" ref="K43">IF(G43=1,I43*H43*E43,J43*H43*E43)</f>
        <v>71797.5</v>
      </c>
      <c r="L43" s="85" cm="1">
        <f t="array" ref="L43">I43*'R_P'!$J$3</f>
        <v>0.0225</v>
      </c>
      <c r="M43" s="83" cm="1">
        <f t="array" ref="M43">1-(1-L43)^F43</f>
        <v>0.0870078062109374</v>
      </c>
      <c r="N43" s="84" cm="1">
        <f t="array" ref="N43">IF(G43=1,L43*H43*E43,M43*H43*E43)</f>
        <v>107696.25</v>
      </c>
      <c r="O43" s="85" cm="1">
        <f t="array" ref="O43">L43*'R_P'!$J$4</f>
        <v>0.0495</v>
      </c>
      <c r="P43" s="83" cm="1">
        <f t="array" ref="P43">1-(1-O43)^F43</f>
        <v>0.183777645774937</v>
      </c>
      <c r="Q43" s="84" cm="1">
        <f t="array" ref="Q43">IF(G43=1,O43*E43*H43,P43*E43*H43)</f>
        <v>236931.75</v>
      </c>
      <c r="R43" s="86" cm="1">
        <f t="array" ref="R43">K43*'R_P'!$K$2+N43*'R_P'!$K$3+Q43*'R_P'!$K$4</f>
        <v>99080.55</v>
      </c>
      <c r="S43" s="87"/>
      <c r="T43" s="79"/>
      <c r="U43" s="79"/>
      <c r="V43" s="79"/>
      <c r="W43" s="79"/>
      <c r="X43" s="79"/>
    </row>
    <row r="44" ht="22.35" customHeight="1">
      <c r="A44" s="77"/>
      <c r="B44" t="s" s="78">
        <v>82</v>
      </c>
      <c r="C44" t="str" s="79" cm="1">
        <f t="array" ref="C44">INDEX($W$4:$W$7,RANDBETWEEN(1,4))</f>
        <v>BB</v>
      </c>
      <c r="D44" t="str" s="79" cm="1">
        <f t="array" ref="D44">INDEX($X$4:$X$6,RANDBETWEEN(1,3))</f>
        <v>Tech</v>
      </c>
      <c r="E44" s="80" cm="1">
        <f t="array" ref="E44">MROUND(RANDBETWEEN(5000,50000000),1000)</f>
        <v>19398000</v>
      </c>
      <c r="F44" s="81" cm="1">
        <f t="array" ref="F44">RANDBETWEEN(1,6)</f>
        <v>1</v>
      </c>
      <c r="G44" s="81" cm="1">
        <f t="array" ref="G44">IF(OR(,C43="A",C43="BBB"),1,2)</f>
        <v>1</v>
      </c>
      <c r="H44" s="82" cm="1">
        <f t="array" ref="H44">_xlfn.XLOOKUP(D44,'R_P'!$E$2:$E$4,'R_P'!$G$2:$G$4)</f>
        <v>0.3</v>
      </c>
      <c r="I44" s="91" cm="1">
        <f t="array" ref="I44">_xlfn.XLOOKUP(C44,'R_P'!$B$2:$B$5,'R_P'!$C$2:$C$5)</f>
        <v>0.04</v>
      </c>
      <c r="J44" s="83" cm="1">
        <f t="array" ref="J44">1-(1-I44)^F44</f>
        <v>0.04</v>
      </c>
      <c r="K44" s="84" cm="1">
        <f t="array" ref="K44">IF(G44=1,I44*H44*E44,J44*H44*E44)</f>
        <v>232776</v>
      </c>
      <c r="L44" s="91" cm="1">
        <f t="array" ref="L44">I44*'R_P'!$J$3</f>
        <v>0.06</v>
      </c>
      <c r="M44" s="83" cm="1">
        <f t="array" ref="M44">1-(1-L44)^F44</f>
        <v>0.0600000000000001</v>
      </c>
      <c r="N44" s="84" cm="1">
        <f t="array" ref="N44">IF(G44=1,L44*H44*E44,M44*H44*E44)</f>
        <v>349164</v>
      </c>
      <c r="O44" s="82" cm="1">
        <f t="array" ref="O44">L44*'R_P'!$J$4</f>
        <v>0.132</v>
      </c>
      <c r="P44" s="83" cm="1">
        <f t="array" ref="P44">1-(1-O44)^F44</f>
        <v>0.132</v>
      </c>
      <c r="Q44" s="84" cm="1">
        <f t="array" ref="Q44">IF(G44=1,O44*E44*H44,P44*E44*H44)</f>
        <v>768160.8</v>
      </c>
      <c r="R44" s="86" cm="1">
        <f t="array" ref="R44">K44*'R_P'!$K$2+N44*'R_P'!$K$3+Q44*'R_P'!$K$4</f>
        <v>321230.88</v>
      </c>
      <c r="S44" s="87"/>
      <c r="T44" s="79"/>
      <c r="U44" s="79"/>
      <c r="V44" s="79"/>
      <c r="W44" s="79"/>
      <c r="X44" s="79"/>
    </row>
    <row r="45" ht="22.35" customHeight="1">
      <c r="A45" s="77"/>
      <c r="B45" t="s" s="78">
        <v>83</v>
      </c>
      <c r="C45" t="str" s="79" cm="1">
        <f t="array" ref="C45">INDEX($W$4:$W$7,RANDBETWEEN(1,4))</f>
        <v>BBB</v>
      </c>
      <c r="D45" t="str" s="79" cm="1">
        <f t="array" ref="D45">INDEX($X$4:$X$6,RANDBETWEEN(1,3))</f>
        <v>Retail</v>
      </c>
      <c r="E45" s="80" cm="1">
        <f t="array" ref="E45">MROUND(RANDBETWEEN(5000,50000000),1000)</f>
        <v>42383000</v>
      </c>
      <c r="F45" s="81" cm="1">
        <f t="array" ref="F45">RANDBETWEEN(1,6)</f>
        <v>2</v>
      </c>
      <c r="G45" s="81" cm="1">
        <f t="array" ref="G45">IF(OR(,C44="A",C44="BBB"),1,2)</f>
        <v>2</v>
      </c>
      <c r="H45" s="91" cm="1">
        <f t="array" ref="H45">_xlfn.XLOOKUP(D45,'R_P'!$E$2:$E$4,'R_P'!$G$2:$G$4)</f>
        <v>1</v>
      </c>
      <c r="I45" s="82" cm="1">
        <f t="array" ref="I45">_xlfn.XLOOKUP(C45,'R_P'!$B$2:$B$5,'R_P'!$C$2:$C$5)</f>
        <v>0.015</v>
      </c>
      <c r="J45" s="83" cm="1">
        <f t="array" ref="J45">1-(1-I45)^F45</f>
        <v>0.029775</v>
      </c>
      <c r="K45" s="84" cm="1">
        <f t="array" ref="K45">IF(G45=1,I45*H45*E45,J45*H45*E45)</f>
        <v>1261953.825</v>
      </c>
      <c r="L45" s="85" cm="1">
        <f t="array" ref="L45">I45*'R_P'!$J$3</f>
        <v>0.0225</v>
      </c>
      <c r="M45" s="83" cm="1">
        <f t="array" ref="M45">1-(1-L45)^F45</f>
        <v>0.0444937499999999</v>
      </c>
      <c r="N45" s="84" cm="1">
        <f t="array" ref="N45">IF(G45=1,L45*H45*E45,M45*H45*E45)</f>
        <v>1885778.60625</v>
      </c>
      <c r="O45" s="85" cm="1">
        <f t="array" ref="O45">L45*'R_P'!$J$4</f>
        <v>0.0495</v>
      </c>
      <c r="P45" s="83" cm="1">
        <f t="array" ref="P45">1-(1-O45)^F45</f>
        <v>0.09654975</v>
      </c>
      <c r="Q45" s="84" cm="1">
        <f t="array" ref="Q45">IF(G45=1,O45*E45*H45,P45*E45*H45)</f>
        <v>4092068.05425</v>
      </c>
      <c r="R45" s="86" cm="1">
        <f t="array" ref="R45">K45*'R_P'!$K$2+N45*'R_P'!$K$3+Q45*'R_P'!$K$4</f>
        <v>1732112.6823</v>
      </c>
      <c r="S45" s="87"/>
      <c r="T45" s="79"/>
      <c r="U45" s="79"/>
      <c r="V45" s="79"/>
      <c r="W45" s="79"/>
      <c r="X45" s="79"/>
    </row>
    <row r="46" ht="22.35" customHeight="1">
      <c r="A46" s="77"/>
      <c r="B46" t="s" s="78">
        <v>84</v>
      </c>
      <c r="C46" t="str" s="79" cm="1">
        <f t="array" ref="C46">INDEX($W$4:$W$7,RANDBETWEEN(1,4))</f>
        <v>BB</v>
      </c>
      <c r="D46" t="str" s="79" cm="1">
        <f t="array" ref="D46">INDEX($X$4:$X$6,RANDBETWEEN(1,3))</f>
        <v>Tech</v>
      </c>
      <c r="E46" s="80" cm="1">
        <f t="array" ref="E46">MROUND(RANDBETWEEN(5000,50000000),1000)</f>
        <v>14473000</v>
      </c>
      <c r="F46" s="81" cm="1">
        <f t="array" ref="F46">RANDBETWEEN(1,6)</f>
        <v>1</v>
      </c>
      <c r="G46" s="81" cm="1">
        <f t="array" ref="G46">IF(OR(,C45="A",C45="BBB"),1,2)</f>
        <v>1</v>
      </c>
      <c r="H46" s="82" cm="1">
        <f t="array" ref="H46">_xlfn.XLOOKUP(D46,'R_P'!$E$2:$E$4,'R_P'!$G$2:$G$4)</f>
        <v>0.3</v>
      </c>
      <c r="I46" s="91" cm="1">
        <f t="array" ref="I46">_xlfn.XLOOKUP(C46,'R_P'!$B$2:$B$5,'R_P'!$C$2:$C$5)</f>
        <v>0.04</v>
      </c>
      <c r="J46" s="83" cm="1">
        <f t="array" ref="J46">1-(1-I46)^F46</f>
        <v>0.04</v>
      </c>
      <c r="K46" s="84" cm="1">
        <f t="array" ref="K46">IF(G46=1,I46*H46*E46,J46*H46*E46)</f>
        <v>173676</v>
      </c>
      <c r="L46" s="91" cm="1">
        <f t="array" ref="L46">I46*'R_P'!$J$3</f>
        <v>0.06</v>
      </c>
      <c r="M46" s="83" cm="1">
        <f t="array" ref="M46">1-(1-L46)^F46</f>
        <v>0.0600000000000001</v>
      </c>
      <c r="N46" s="84" cm="1">
        <f t="array" ref="N46">IF(G46=1,L46*H46*E46,M46*H46*E46)</f>
        <v>260514</v>
      </c>
      <c r="O46" s="82" cm="1">
        <f t="array" ref="O46">L46*'R_P'!$J$4</f>
        <v>0.132</v>
      </c>
      <c r="P46" s="83" cm="1">
        <f t="array" ref="P46">1-(1-O46)^F46</f>
        <v>0.132</v>
      </c>
      <c r="Q46" s="84" cm="1">
        <f t="array" ref="Q46">IF(G46=1,O46*E46*H46,P46*E46*H46)</f>
        <v>573130.8</v>
      </c>
      <c r="R46" s="86" cm="1">
        <f t="array" ref="R46">K46*'R_P'!$K$2+N46*'R_P'!$K$3+Q46*'R_P'!$K$4</f>
        <v>239672.88</v>
      </c>
      <c r="S46" s="87"/>
      <c r="T46" s="79"/>
      <c r="U46" s="79"/>
      <c r="V46" s="79"/>
      <c r="W46" s="79"/>
      <c r="X46" s="79"/>
    </row>
    <row r="47" ht="22.35" customHeight="1">
      <c r="A47" s="77"/>
      <c r="B47" t="s" s="78">
        <v>85</v>
      </c>
      <c r="C47" t="str" s="79" cm="1">
        <f t="array" ref="C47">INDEX($W$4:$W$7,RANDBETWEEN(1,4))</f>
        <v>A</v>
      </c>
      <c r="D47" t="str" s="79" cm="1">
        <f t="array" ref="D47">INDEX($X$4:$X$6,RANDBETWEEN(1,3))</f>
        <v>Tech</v>
      </c>
      <c r="E47" s="80" cm="1">
        <f t="array" ref="E47">MROUND(RANDBETWEEN(5000,50000000),1000)</f>
        <v>38903000</v>
      </c>
      <c r="F47" s="81" cm="1">
        <f t="array" ref="F47">RANDBETWEEN(1,6)</f>
        <v>2</v>
      </c>
      <c r="G47" s="81" cm="1">
        <f t="array" ref="G47">IF(OR(,C46="A",C46="BBB"),1,2)</f>
        <v>2</v>
      </c>
      <c r="H47" s="82" cm="1">
        <f t="array" ref="H47">_xlfn.XLOOKUP(D47,'R_P'!$E$2:$E$4,'R_P'!$G$2:$G$4)</f>
        <v>0.3</v>
      </c>
      <c r="I47" s="82" cm="1">
        <f t="array" ref="I47">_xlfn.XLOOKUP(C47,'R_P'!$B$2:$B$5,'R_P'!$C$2:$C$5)</f>
        <v>0.005</v>
      </c>
      <c r="J47" s="83" cm="1">
        <f t="array" ref="J47">1-(1-I47)^F47</f>
        <v>0.00997499999999996</v>
      </c>
      <c r="K47" s="84" cm="1">
        <f t="array" ref="K47">IF(G47=1,I47*H47*E47,J47*H47*E47)</f>
        <v>116417.2275</v>
      </c>
      <c r="L47" s="85" cm="1">
        <f t="array" ref="L47">I47*'R_P'!$J$3</f>
        <v>0.0075</v>
      </c>
      <c r="M47" s="83" cm="1">
        <f t="array" ref="M47">1-(1-L47)^F47</f>
        <v>0.0149437499999999</v>
      </c>
      <c r="N47" s="84" cm="1">
        <f t="array" ref="N47">IF(G47=1,L47*H47*E47,M47*H47*E47)</f>
        <v>174407.011874999</v>
      </c>
      <c r="O47" s="85" cm="1">
        <f t="array" ref="O47">L47*'R_P'!$J$4</f>
        <v>0.0165</v>
      </c>
      <c r="P47" s="83" cm="1">
        <f t="array" ref="P47">1-(1-O47)^F47</f>
        <v>0.0327277499999999</v>
      </c>
      <c r="Q47" s="84" cm="1">
        <f t="array" ref="Q47">IF(G47=1,O47*E47*H47,P47*E47*H47)</f>
        <v>381962.297474999</v>
      </c>
      <c r="R47" s="86" cm="1">
        <f t="array" ref="R47">K47*'R_P'!$K$2+N47*'R_P'!$K$3+Q47*'R_P'!$K$4</f>
        <v>160368.66981</v>
      </c>
      <c r="S47" s="87"/>
      <c r="T47" s="79"/>
      <c r="U47" s="79"/>
      <c r="V47" s="79"/>
      <c r="W47" s="79"/>
      <c r="X47" s="79"/>
    </row>
    <row r="48" ht="22.35" customHeight="1">
      <c r="A48" s="77"/>
      <c r="B48" t="s" s="78">
        <v>86</v>
      </c>
      <c r="C48" t="str" s="79" cm="1">
        <f t="array" ref="C48">INDEX($W$4:$W$7,RANDBETWEEN(1,4))</f>
        <v>BBB</v>
      </c>
      <c r="D48" t="str" s="79" cm="1">
        <f t="array" ref="D48">INDEX($X$4:$X$6,RANDBETWEEN(1,3))</f>
        <v>Tech</v>
      </c>
      <c r="E48" s="80" cm="1">
        <f t="array" ref="E48">MROUND(RANDBETWEEN(5000,50000000),1000)</f>
        <v>39001000</v>
      </c>
      <c r="F48" s="81" cm="1">
        <f t="array" ref="F48">RANDBETWEEN(1,6)</f>
        <v>3</v>
      </c>
      <c r="G48" s="81" cm="1">
        <f t="array" ref="G48">IF(OR(,C47="A",C47="BBB"),1,2)</f>
        <v>1</v>
      </c>
      <c r="H48" s="82" cm="1">
        <f t="array" ref="H48">_xlfn.XLOOKUP(D48,'R_P'!$E$2:$E$4,'R_P'!$G$2:$G$4)</f>
        <v>0.3</v>
      </c>
      <c r="I48" s="82" cm="1">
        <f t="array" ref="I48">_xlfn.XLOOKUP(C48,'R_P'!$B$2:$B$5,'R_P'!$C$2:$C$5)</f>
        <v>0.015</v>
      </c>
      <c r="J48" s="83" cm="1">
        <f t="array" ref="J48">1-(1-I48)^F48</f>
        <v>0.0443283750000001</v>
      </c>
      <c r="K48" s="84" cm="1">
        <f t="array" ref="K48">IF(G48=1,I48*H48*E48,J48*H48*E48)</f>
        <v>175504.5</v>
      </c>
      <c r="L48" s="85" cm="1">
        <f t="array" ref="L48">I48*'R_P'!$J$3</f>
        <v>0.0225</v>
      </c>
      <c r="M48" s="83" cm="1">
        <f t="array" ref="M48">1-(1-L48)^F48</f>
        <v>0.0659926406249999</v>
      </c>
      <c r="N48" s="84" cm="1">
        <f t="array" ref="N48">IF(G48=1,L48*H48*E48,M48*H48*E48)</f>
        <v>263256.75</v>
      </c>
      <c r="O48" s="85" cm="1">
        <f t="array" ref="O48">L48*'R_P'!$J$4</f>
        <v>0.0495</v>
      </c>
      <c r="P48" s="83" cm="1">
        <f t="array" ref="P48">1-(1-O48)^F48</f>
        <v>0.141270537375</v>
      </c>
      <c r="Q48" s="84" cm="1">
        <f t="array" ref="Q48">IF(G48=1,O48*E48*H48,P48*E48*H48)</f>
        <v>579164.85</v>
      </c>
      <c r="R48" s="86" cm="1">
        <f t="array" ref="R48">K48*'R_P'!$K$2+N48*'R_P'!$K$3+Q48*'R_P'!$K$4</f>
        <v>242196.21</v>
      </c>
      <c r="S48" s="87"/>
      <c r="T48" s="79"/>
      <c r="U48" s="79"/>
      <c r="V48" s="79"/>
      <c r="W48" s="79"/>
      <c r="X48" s="79"/>
    </row>
    <row r="49" ht="22.35" customHeight="1">
      <c r="A49" s="77"/>
      <c r="B49" t="s" s="78">
        <v>87</v>
      </c>
      <c r="C49" t="str" s="79" cm="1">
        <f t="array" ref="C49">INDEX($W$4:$W$7,RANDBETWEEN(1,4))</f>
        <v>BB</v>
      </c>
      <c r="D49" t="str" s="79" cm="1">
        <f t="array" ref="D49">INDEX($X$4:$X$6,RANDBETWEEN(1,3))</f>
        <v>Energy</v>
      </c>
      <c r="E49" s="80" cm="1">
        <f t="array" ref="E49">MROUND(RANDBETWEEN(5000,50000000),1000)</f>
        <v>27965000</v>
      </c>
      <c r="F49" s="81" cm="1">
        <f t="array" ref="F49">RANDBETWEEN(1,6)</f>
        <v>1</v>
      </c>
      <c r="G49" s="81" cm="1">
        <f t="array" ref="G49">IF(OR(,C48="A",C48="BBB"),1,2)</f>
        <v>1</v>
      </c>
      <c r="H49" s="82" cm="1">
        <f t="array" ref="H49">_xlfn.XLOOKUP(D49,'R_P'!$E$2:$E$4,'R_P'!$G$2:$G$4)</f>
        <v>0.5</v>
      </c>
      <c r="I49" s="91" cm="1">
        <f t="array" ref="I49">_xlfn.XLOOKUP(C49,'R_P'!$B$2:$B$5,'R_P'!$C$2:$C$5)</f>
        <v>0.04</v>
      </c>
      <c r="J49" s="83" cm="1">
        <f t="array" ref="J49">1-(1-I49)^F49</f>
        <v>0.04</v>
      </c>
      <c r="K49" s="84" cm="1">
        <f t="array" ref="K49">IF(G49=1,I49*H49*E49,J49*H49*E49)</f>
        <v>559300</v>
      </c>
      <c r="L49" s="91" cm="1">
        <f t="array" ref="L49">I49*'R_P'!$J$3</f>
        <v>0.06</v>
      </c>
      <c r="M49" s="83" cm="1">
        <f t="array" ref="M49">1-(1-L49)^F49</f>
        <v>0.0600000000000001</v>
      </c>
      <c r="N49" s="84" cm="1">
        <f t="array" ref="N49">IF(G49=1,L49*H49*E49,M49*H49*E49)</f>
        <v>838950</v>
      </c>
      <c r="O49" s="82" cm="1">
        <f t="array" ref="O49">L49*'R_P'!$J$4</f>
        <v>0.132</v>
      </c>
      <c r="P49" s="83" cm="1">
        <f t="array" ref="P49">1-(1-O49)^F49</f>
        <v>0.132</v>
      </c>
      <c r="Q49" s="84" cm="1">
        <f t="array" ref="Q49">IF(G49=1,O49*E49*H49,P49*E49*H49)</f>
        <v>1845690</v>
      </c>
      <c r="R49" s="86" cm="1">
        <f t="array" ref="R49">K49*'R_P'!$K$2+N49*'R_P'!$K$3+Q49*'R_P'!$K$4</f>
        <v>771834</v>
      </c>
      <c r="S49" s="87"/>
      <c r="T49" s="79"/>
      <c r="U49" s="79"/>
      <c r="V49" s="79"/>
      <c r="W49" s="79"/>
      <c r="X49" s="79"/>
    </row>
    <row r="50" ht="22.35" customHeight="1">
      <c r="A50" s="77"/>
      <c r="B50" t="s" s="78">
        <v>88</v>
      </c>
      <c r="C50" t="str" s="79" cm="1">
        <f t="array" ref="C50">INDEX($W$4:$W$7,RANDBETWEEN(1,4))</f>
        <v>A</v>
      </c>
      <c r="D50" t="str" s="79" cm="1">
        <f t="array" ref="D50">INDEX($X$4:$X$6,RANDBETWEEN(1,3))</f>
        <v>Energy</v>
      </c>
      <c r="E50" s="80" cm="1">
        <f t="array" ref="E50">MROUND(RANDBETWEEN(5000,50000000),1000)</f>
        <v>49991000</v>
      </c>
      <c r="F50" s="81" cm="1">
        <f t="array" ref="F50">RANDBETWEEN(1,6)</f>
        <v>1</v>
      </c>
      <c r="G50" s="81" cm="1">
        <f t="array" ref="G50">IF(OR(,C49="A",C49="BBB"),1,2)</f>
        <v>2</v>
      </c>
      <c r="H50" s="82" cm="1">
        <f t="array" ref="H50">_xlfn.XLOOKUP(D50,'R_P'!$E$2:$E$4,'R_P'!$G$2:$G$4)</f>
        <v>0.5</v>
      </c>
      <c r="I50" s="82" cm="1">
        <f t="array" ref="I50">_xlfn.XLOOKUP(C50,'R_P'!$B$2:$B$5,'R_P'!$C$2:$C$5)</f>
        <v>0.005</v>
      </c>
      <c r="J50" s="83" cm="1">
        <f t="array" ref="J50">1-(1-I50)^F50</f>
        <v>0.005</v>
      </c>
      <c r="K50" s="84" cm="1">
        <f t="array" ref="K50">IF(G50=1,I50*H50*E50,J50*H50*E50)</f>
        <v>124977.5</v>
      </c>
      <c r="L50" s="85" cm="1">
        <f t="array" ref="L50">I50*'R_P'!$J$3</f>
        <v>0.0075</v>
      </c>
      <c r="M50" s="83" cm="1">
        <f t="array" ref="M50">1-(1-L50)^F50</f>
        <v>0.00749999999999995</v>
      </c>
      <c r="N50" s="84" cm="1">
        <f t="array" ref="N50">IF(G50=1,L50*H50*E50,M50*H50*E50)</f>
        <v>187466.249999999</v>
      </c>
      <c r="O50" s="85" cm="1">
        <f t="array" ref="O50">L50*'R_P'!$J$4</f>
        <v>0.0165</v>
      </c>
      <c r="P50" s="83" cm="1">
        <f t="array" ref="P50">1-(1-O50)^F50</f>
        <v>0.0165</v>
      </c>
      <c r="Q50" s="84" cm="1">
        <f t="array" ref="Q50">IF(G50=1,O50*E50*H50,P50*E50*H50)</f>
        <v>412425.75</v>
      </c>
      <c r="R50" s="86" cm="1">
        <f t="array" ref="R50">K50*'R_P'!$K$2+N50*'R_P'!$K$3+Q50*'R_P'!$K$4</f>
        <v>172468.95</v>
      </c>
      <c r="S50" s="87"/>
      <c r="T50" s="79"/>
      <c r="U50" s="79"/>
      <c r="V50" s="79"/>
      <c r="W50" s="79"/>
      <c r="X50" s="79"/>
    </row>
    <row r="51" ht="22.35" customHeight="1">
      <c r="A51" s="77"/>
      <c r="B51" t="s" s="78">
        <v>89</v>
      </c>
      <c r="C51" t="str" s="79" cm="1">
        <f t="array" ref="C51">INDEX($W$4:$W$7,RANDBETWEEN(1,4))</f>
        <v>BB</v>
      </c>
      <c r="D51" t="str" s="79" cm="1">
        <f t="array" ref="D51">INDEX($X$4:$X$6,RANDBETWEEN(1,3))</f>
        <v>Tech</v>
      </c>
      <c r="E51" s="80" cm="1">
        <f t="array" ref="E51">MROUND(RANDBETWEEN(5000,50000000),1000)</f>
        <v>2533000</v>
      </c>
      <c r="F51" s="81" cm="1">
        <f t="array" ref="F51">RANDBETWEEN(1,6)</f>
        <v>1</v>
      </c>
      <c r="G51" s="81" cm="1">
        <f t="array" ref="G51">IF(OR(,C50="A",C50="BBB"),1,2)</f>
        <v>1</v>
      </c>
      <c r="H51" s="82" cm="1">
        <f t="array" ref="H51">_xlfn.XLOOKUP(D51,'R_P'!$E$2:$E$4,'R_P'!$G$2:$G$4)</f>
        <v>0.3</v>
      </c>
      <c r="I51" s="91" cm="1">
        <f t="array" ref="I51">_xlfn.XLOOKUP(C51,'R_P'!$B$2:$B$5,'R_P'!$C$2:$C$5)</f>
        <v>0.04</v>
      </c>
      <c r="J51" s="83" cm="1">
        <f t="array" ref="J51">1-(1-I51)^F51</f>
        <v>0.04</v>
      </c>
      <c r="K51" s="84" cm="1">
        <f t="array" ref="K51">IF(G51=1,I51*H51*E51,J51*H51*E51)</f>
        <v>30396</v>
      </c>
      <c r="L51" s="91" cm="1">
        <f t="array" ref="L51">I51*'R_P'!$J$3</f>
        <v>0.06</v>
      </c>
      <c r="M51" s="83" cm="1">
        <f t="array" ref="M51">1-(1-L51)^F51</f>
        <v>0.0600000000000001</v>
      </c>
      <c r="N51" s="84" cm="1">
        <f t="array" ref="N51">IF(G51=1,L51*H51*E51,M51*H51*E51)</f>
        <v>45594</v>
      </c>
      <c r="O51" s="82" cm="1">
        <f t="array" ref="O51">L51*'R_P'!$J$4</f>
        <v>0.132</v>
      </c>
      <c r="P51" s="83" cm="1">
        <f t="array" ref="P51">1-(1-O51)^F51</f>
        <v>0.132</v>
      </c>
      <c r="Q51" s="84" cm="1">
        <f t="array" ref="Q51">IF(G51=1,O51*E51*H51,P51*E51*H51)</f>
        <v>100306.8</v>
      </c>
      <c r="R51" s="86" cm="1">
        <f t="array" ref="R51">K51*'R_P'!$K$2+N51*'R_P'!$K$3+Q51*'R_P'!$K$4</f>
        <v>41946.48</v>
      </c>
      <c r="S51" s="87"/>
      <c r="T51" s="79"/>
      <c r="U51" s="79"/>
      <c r="V51" s="79"/>
      <c r="W51" s="79"/>
      <c r="X51" s="79"/>
    </row>
    <row r="52" ht="22.35" customHeight="1">
      <c r="A52" s="77"/>
      <c r="B52" t="s" s="78">
        <v>90</v>
      </c>
      <c r="C52" t="str" s="79" cm="1">
        <f t="array" ref="C52">INDEX($W$4:$W$7,RANDBETWEEN(1,4))</f>
        <v>A</v>
      </c>
      <c r="D52" t="str" s="79" cm="1">
        <f t="array" ref="D52">INDEX($X$4:$X$6,RANDBETWEEN(1,3))</f>
        <v>Tech</v>
      </c>
      <c r="E52" s="80" cm="1">
        <f t="array" ref="E52">MROUND(RANDBETWEEN(5000,50000000),1000)</f>
        <v>28610000</v>
      </c>
      <c r="F52" s="81" cm="1">
        <f t="array" ref="F52">RANDBETWEEN(1,6)</f>
        <v>3</v>
      </c>
      <c r="G52" s="81" cm="1">
        <f t="array" ref="G52">IF(OR(,C51="A",C51="BBB"),1,2)</f>
        <v>2</v>
      </c>
      <c r="H52" s="82" cm="1">
        <f t="array" ref="H52">_xlfn.XLOOKUP(D52,'R_P'!$E$2:$E$4,'R_P'!$G$2:$G$4)</f>
        <v>0.3</v>
      </c>
      <c r="I52" s="82" cm="1">
        <f t="array" ref="I52">_xlfn.XLOOKUP(C52,'R_P'!$B$2:$B$5,'R_P'!$C$2:$C$5)</f>
        <v>0.005</v>
      </c>
      <c r="J52" s="83" cm="1">
        <f t="array" ref="J52">1-(1-I52)^F52</f>
        <v>0.014925125</v>
      </c>
      <c r="K52" s="84" cm="1">
        <f t="array" ref="K52">IF(G52=1,I52*H52*E52,J52*H52*E52)</f>
        <v>128102.347875</v>
      </c>
      <c r="L52" s="85" cm="1">
        <f t="array" ref="L52">I52*'R_P'!$J$3</f>
        <v>0.0075</v>
      </c>
      <c r="M52" s="83" cm="1">
        <f t="array" ref="M52">1-(1-L52)^F52</f>
        <v>0.0223316718749998</v>
      </c>
      <c r="N52" s="84" cm="1">
        <f t="array" ref="N52">IF(G52=1,L52*H52*E52,M52*H52*E52)</f>
        <v>191672.739703123</v>
      </c>
      <c r="O52" s="85" cm="1">
        <f t="array" ref="O52">L52*'R_P'!$J$4</f>
        <v>0.0165</v>
      </c>
      <c r="P52" s="83" cm="1">
        <f t="array" ref="P52">1-(1-O52)^F52</f>
        <v>0.0486877421249999</v>
      </c>
      <c r="Q52" s="84" cm="1">
        <f t="array" ref="Q52">IF(G52=1,O52*E52*H52,P52*E52*H52)</f>
        <v>417886.890658874</v>
      </c>
      <c r="R52" s="86" cm="1">
        <f t="array" ref="R52">K52*'R_P'!$K$2+N52*'R_P'!$K$3+Q52*'R_P'!$K$4</f>
        <v>176151.919701824</v>
      </c>
      <c r="S52" s="87"/>
      <c r="T52" s="79"/>
      <c r="U52" s="79"/>
      <c r="V52" s="79"/>
      <c r="W52" s="79"/>
      <c r="X52" s="79"/>
    </row>
    <row r="53" ht="22.35" customHeight="1">
      <c r="A53" s="77"/>
      <c r="B53" t="s" s="78">
        <v>91</v>
      </c>
      <c r="C53" t="str" s="79" cm="1">
        <f t="array" ref="C53">INDEX($W$4:$W$7,RANDBETWEEN(1,4))</f>
        <v>A</v>
      </c>
      <c r="D53" t="str" s="79" cm="1">
        <f t="array" ref="D53">INDEX($X$4:$X$6,RANDBETWEEN(1,3))</f>
        <v>Energy</v>
      </c>
      <c r="E53" s="80" cm="1">
        <f t="array" ref="E53">MROUND(RANDBETWEEN(5000,50000000),1000)</f>
        <v>43462000</v>
      </c>
      <c r="F53" s="81" cm="1">
        <f t="array" ref="F53">RANDBETWEEN(1,6)</f>
        <v>2</v>
      </c>
      <c r="G53" s="81" cm="1">
        <f t="array" ref="G53">IF(OR(,C52="A",C52="BBB"),1,2)</f>
        <v>1</v>
      </c>
      <c r="H53" s="82" cm="1">
        <f t="array" ref="H53">_xlfn.XLOOKUP(D53,'R_P'!$E$2:$E$4,'R_P'!$G$2:$G$4)</f>
        <v>0.5</v>
      </c>
      <c r="I53" s="82" cm="1">
        <f t="array" ref="I53">_xlfn.XLOOKUP(C53,'R_P'!$B$2:$B$5,'R_P'!$C$2:$C$5)</f>
        <v>0.005</v>
      </c>
      <c r="J53" s="83" cm="1">
        <f t="array" ref="J53">1-(1-I53)^F53</f>
        <v>0.00997499999999996</v>
      </c>
      <c r="K53" s="84" cm="1">
        <f t="array" ref="K53">IF(G53=1,I53*H53*E53,J53*H53*E53)</f>
        <v>108655</v>
      </c>
      <c r="L53" s="85" cm="1">
        <f t="array" ref="L53">I53*'R_P'!$J$3</f>
        <v>0.0075</v>
      </c>
      <c r="M53" s="83" cm="1">
        <f t="array" ref="M53">1-(1-L53)^F53</f>
        <v>0.0149437499999999</v>
      </c>
      <c r="N53" s="84" cm="1">
        <f t="array" ref="N53">IF(G53=1,L53*H53*E53,M53*H53*E53)</f>
        <v>162982.5</v>
      </c>
      <c r="O53" s="85" cm="1">
        <f t="array" ref="O53">L53*'R_P'!$J$4</f>
        <v>0.0165</v>
      </c>
      <c r="P53" s="83" cm="1">
        <f t="array" ref="P53">1-(1-O53)^F53</f>
        <v>0.0327277499999999</v>
      </c>
      <c r="Q53" s="84" cm="1">
        <f t="array" ref="Q53">IF(G53=1,O53*E53*H53,P53*E53*H53)</f>
        <v>358561.5</v>
      </c>
      <c r="R53" s="86" cm="1">
        <f t="array" ref="R53">K53*'R_P'!$K$2+N53*'R_P'!$K$3+Q53*'R_P'!$K$4</f>
        <v>149943.9</v>
      </c>
      <c r="S53" s="87"/>
      <c r="T53" s="79"/>
      <c r="U53" s="79"/>
      <c r="V53" s="79"/>
      <c r="W53" s="79"/>
      <c r="X53" s="79"/>
    </row>
    <row r="54" ht="22.35" customHeight="1">
      <c r="A54" s="77"/>
      <c r="B54" t="s" s="78">
        <v>92</v>
      </c>
      <c r="C54" t="str" s="79" cm="1">
        <f t="array" ref="C54">INDEX($W$4:$W$7,RANDBETWEEN(1,4))</f>
        <v>B</v>
      </c>
      <c r="D54" t="str" s="79" cm="1">
        <f t="array" ref="D54">INDEX($X$4:$X$6,RANDBETWEEN(1,3))</f>
        <v>Energy</v>
      </c>
      <c r="E54" s="80" cm="1">
        <f t="array" ref="E54">MROUND(RANDBETWEEN(5000,50000000),1000)</f>
        <v>1586000</v>
      </c>
      <c r="F54" s="81" cm="1">
        <f t="array" ref="F54">RANDBETWEEN(1,6)</f>
        <v>6</v>
      </c>
      <c r="G54" s="81" cm="1">
        <f t="array" ref="G54">IF(OR(,C53="A",C53="BBB"),1,2)</f>
        <v>1</v>
      </c>
      <c r="H54" s="82" cm="1">
        <f t="array" ref="H54">_xlfn.XLOOKUP(D54,'R_P'!$E$2:$E$4,'R_P'!$G$2:$G$4)</f>
        <v>0.5</v>
      </c>
      <c r="I54" s="91" cm="1">
        <f t="array" ref="I54">_xlfn.XLOOKUP(C54,'R_P'!$B$2:$B$5,'R_P'!$C$2:$C$5)</f>
        <v>0.08</v>
      </c>
      <c r="J54" s="83" cm="1">
        <f t="array" ref="J54">1-(1-I54)^F54</f>
        <v>0.393644998656</v>
      </c>
      <c r="K54" s="84" cm="1">
        <f t="array" ref="K54">IF(G54=1,I54*H54*E54,J54*H54*E54)</f>
        <v>63440</v>
      </c>
      <c r="L54" s="91" cm="1">
        <f t="array" ref="L54">I54*'R_P'!$J$3</f>
        <v>0.12</v>
      </c>
      <c r="M54" s="83" cm="1">
        <f t="array" ref="M54">1-(1-L54)^F54</f>
        <v>0.535595913216</v>
      </c>
      <c r="N54" s="84" cm="1">
        <f t="array" ref="N54">IF(G54=1,L54*H54*E54,M54*H54*E54)</f>
        <v>95160</v>
      </c>
      <c r="O54" s="82" cm="1">
        <f t="array" ref="O54">L54*'R_P'!$J$4</f>
        <v>0.264</v>
      </c>
      <c r="P54" s="83" cm="1">
        <f t="array" ref="P54">1-(1-O54)^F54</f>
        <v>0.841047674527678</v>
      </c>
      <c r="Q54" s="84" cm="1">
        <f t="array" ref="Q54">IF(G54=1,O54*E54*H54,P54*E54*H54)</f>
        <v>209352</v>
      </c>
      <c r="R54" s="86" cm="1">
        <f t="array" ref="R54">K54*'R_P'!$K$2+N54*'R_P'!$K$3+Q54*'R_P'!$K$4</f>
        <v>87547.2</v>
      </c>
      <c r="S54" s="87"/>
      <c r="T54" s="79"/>
      <c r="U54" s="79"/>
      <c r="V54" s="79"/>
      <c r="W54" s="79"/>
      <c r="X54" s="79"/>
    </row>
    <row r="55" ht="22.35" customHeight="1">
      <c r="A55" s="77"/>
      <c r="B55" t="s" s="78">
        <v>93</v>
      </c>
      <c r="C55" t="str" s="79" cm="1">
        <f t="array" ref="C55">INDEX($W$4:$W$7,RANDBETWEEN(1,4))</f>
        <v>B</v>
      </c>
      <c r="D55" t="str" s="79" cm="1">
        <f t="array" ref="D55">INDEX($X$4:$X$6,RANDBETWEEN(1,3))</f>
        <v>Energy</v>
      </c>
      <c r="E55" s="80" cm="1">
        <f t="array" ref="E55">MROUND(RANDBETWEEN(5000,50000000),1000)</f>
        <v>28185000</v>
      </c>
      <c r="F55" s="81" cm="1">
        <f t="array" ref="F55">RANDBETWEEN(1,6)</f>
        <v>6</v>
      </c>
      <c r="G55" s="81" cm="1">
        <f t="array" ref="G55">IF(OR(,C54="A",C54="BBB"),1,2)</f>
        <v>2</v>
      </c>
      <c r="H55" s="82" cm="1">
        <f t="array" ref="H55">_xlfn.XLOOKUP(D55,'R_P'!$E$2:$E$4,'R_P'!$G$2:$G$4)</f>
        <v>0.5</v>
      </c>
      <c r="I55" s="91" cm="1">
        <f t="array" ref="I55">_xlfn.XLOOKUP(C55,'R_P'!$B$2:$B$5,'R_P'!$C$2:$C$5)</f>
        <v>0.08</v>
      </c>
      <c r="J55" s="83" cm="1">
        <f t="array" ref="J55">1-(1-I55)^F55</f>
        <v>0.393644998656</v>
      </c>
      <c r="K55" s="84" cm="1">
        <f t="array" ref="K55">IF(G55=1,I55*H55*E55,J55*H55*E55)</f>
        <v>5547442.14355968</v>
      </c>
      <c r="L55" s="91" cm="1">
        <f t="array" ref="L55">I55*'R_P'!$J$3</f>
        <v>0.12</v>
      </c>
      <c r="M55" s="83" cm="1">
        <f t="array" ref="M55">1-(1-L55)^F55</f>
        <v>0.535595913216</v>
      </c>
      <c r="N55" s="84" cm="1">
        <f t="array" ref="N55">IF(G55=1,L55*H55*E55,M55*H55*E55)</f>
        <v>7547885.40699648</v>
      </c>
      <c r="O55" s="82" cm="1">
        <f t="array" ref="O55">L55*'R_P'!$J$4</f>
        <v>0.264</v>
      </c>
      <c r="P55" s="83" cm="1">
        <f t="array" ref="P55">1-(1-O55)^F55</f>
        <v>0.841047674527678</v>
      </c>
      <c r="Q55" s="84" cm="1">
        <f t="array" ref="Q55">IF(G55=1,O55*E55*H55,P55*E55*H55)</f>
        <v>11852464.3532813</v>
      </c>
      <c r="R55" s="86" cm="1">
        <f t="array" ref="R55">K55*'R_P'!$K$2+N55*'R_P'!$K$3+Q55*'R_P'!$K$4</f>
        <v>6778077.34356288</v>
      </c>
      <c r="S55" s="87"/>
      <c r="T55" s="79"/>
      <c r="U55" s="79"/>
      <c r="V55" s="79"/>
      <c r="W55" s="79"/>
      <c r="X55" s="79"/>
    </row>
    <row r="56" ht="22.35" customHeight="1">
      <c r="A56" s="77"/>
      <c r="B56" t="s" s="78">
        <v>94</v>
      </c>
      <c r="C56" t="str" s="79" cm="1">
        <f t="array" ref="C56">INDEX($W$4:$W$7,RANDBETWEEN(1,4))</f>
        <v>BBB</v>
      </c>
      <c r="D56" t="str" s="79" cm="1">
        <f t="array" ref="D56">INDEX($X$4:$X$6,RANDBETWEEN(1,3))</f>
        <v>Energy</v>
      </c>
      <c r="E56" s="80" cm="1">
        <f t="array" ref="E56">MROUND(RANDBETWEEN(5000,50000000),1000)</f>
        <v>7631000</v>
      </c>
      <c r="F56" s="81" cm="1">
        <f t="array" ref="F56">RANDBETWEEN(1,6)</f>
        <v>1</v>
      </c>
      <c r="G56" s="81" cm="1">
        <f t="array" ref="G56">IF(OR(,C55="A",C55="BBB"),1,2)</f>
        <v>2</v>
      </c>
      <c r="H56" s="82" cm="1">
        <f t="array" ref="H56">_xlfn.XLOOKUP(D56,'R_P'!$E$2:$E$4,'R_P'!$G$2:$G$4)</f>
        <v>0.5</v>
      </c>
      <c r="I56" s="82" cm="1">
        <f t="array" ref="I56">_xlfn.XLOOKUP(C56,'R_P'!$B$2:$B$5,'R_P'!$C$2:$C$5)</f>
        <v>0.015</v>
      </c>
      <c r="J56" s="83" cm="1">
        <f t="array" ref="J56">1-(1-I56)^F56</f>
        <v>0.015</v>
      </c>
      <c r="K56" s="84" cm="1">
        <f t="array" ref="K56">IF(G56=1,I56*H56*E56,J56*H56*E56)</f>
        <v>57232.5</v>
      </c>
      <c r="L56" s="85" cm="1">
        <f t="array" ref="L56">I56*'R_P'!$J$3</f>
        <v>0.0225</v>
      </c>
      <c r="M56" s="83" cm="1">
        <f t="array" ref="M56">1-(1-L56)^F56</f>
        <v>0.0225</v>
      </c>
      <c r="N56" s="84" cm="1">
        <f t="array" ref="N56">IF(G56=1,L56*H56*E56,M56*H56*E56)</f>
        <v>85848.75</v>
      </c>
      <c r="O56" s="85" cm="1">
        <f t="array" ref="O56">L56*'R_P'!$J$4</f>
        <v>0.0495</v>
      </c>
      <c r="P56" s="83" cm="1">
        <f t="array" ref="P56">1-(1-O56)^F56</f>
        <v>0.0495</v>
      </c>
      <c r="Q56" s="84" cm="1">
        <f t="array" ref="Q56">IF(G56=1,O56*E56*H56,P56*E56*H56)</f>
        <v>188867.25</v>
      </c>
      <c r="R56" s="86" cm="1">
        <f t="array" ref="R56">K56*'R_P'!$K$2+N56*'R_P'!$K$3+Q56*'R_P'!$K$4</f>
        <v>78980.850000000006</v>
      </c>
      <c r="S56" s="87"/>
      <c r="T56" s="79"/>
      <c r="U56" s="79"/>
      <c r="V56" s="79"/>
      <c r="W56" s="79"/>
      <c r="X56" s="79"/>
    </row>
    <row r="57" ht="22.35" customHeight="1">
      <c r="A57" s="77"/>
      <c r="B57" t="s" s="78">
        <v>95</v>
      </c>
      <c r="C57" t="str" s="79" cm="1">
        <f t="array" ref="C57">INDEX($W$4:$W$7,RANDBETWEEN(1,4))</f>
        <v>BBB</v>
      </c>
      <c r="D57" t="str" s="79" cm="1">
        <f t="array" ref="D57">INDEX($X$4:$X$6,RANDBETWEEN(1,3))</f>
        <v>Energy</v>
      </c>
      <c r="E57" s="80" cm="1">
        <f t="array" ref="E57">MROUND(RANDBETWEEN(5000,50000000),1000)</f>
        <v>45928000</v>
      </c>
      <c r="F57" s="81" cm="1">
        <f t="array" ref="F57">RANDBETWEEN(1,6)</f>
        <v>1</v>
      </c>
      <c r="G57" s="81" cm="1">
        <f t="array" ref="G57">IF(OR(,C56="A",C56="BBB"),1,2)</f>
        <v>1</v>
      </c>
      <c r="H57" s="82" cm="1">
        <f t="array" ref="H57">_xlfn.XLOOKUP(D57,'R_P'!$E$2:$E$4,'R_P'!$G$2:$G$4)</f>
        <v>0.5</v>
      </c>
      <c r="I57" s="82" cm="1">
        <f t="array" ref="I57">_xlfn.XLOOKUP(C57,'R_P'!$B$2:$B$5,'R_P'!$C$2:$C$5)</f>
        <v>0.015</v>
      </c>
      <c r="J57" s="83" cm="1">
        <f t="array" ref="J57">1-(1-I57)^F57</f>
        <v>0.015</v>
      </c>
      <c r="K57" s="84" cm="1">
        <f t="array" ref="K57">IF(G57=1,I57*H57*E57,J57*H57*E57)</f>
        <v>344460</v>
      </c>
      <c r="L57" s="85" cm="1">
        <f t="array" ref="L57">I57*'R_P'!$J$3</f>
        <v>0.0225</v>
      </c>
      <c r="M57" s="83" cm="1">
        <f t="array" ref="M57">1-(1-L57)^F57</f>
        <v>0.0225</v>
      </c>
      <c r="N57" s="84" cm="1">
        <f t="array" ref="N57">IF(G57=1,L57*H57*E57,M57*H57*E57)</f>
        <v>516690</v>
      </c>
      <c r="O57" s="85" cm="1">
        <f t="array" ref="O57">L57*'R_P'!$J$4</f>
        <v>0.0495</v>
      </c>
      <c r="P57" s="83" cm="1">
        <f t="array" ref="P57">1-(1-O57)^F57</f>
        <v>0.0495</v>
      </c>
      <c r="Q57" s="84" cm="1">
        <f t="array" ref="Q57">IF(G57=1,O57*E57*H57,P57*E57*H57)</f>
        <v>1136718</v>
      </c>
      <c r="R57" s="86" cm="1">
        <f t="array" ref="R57">K57*'R_P'!$K$2+N57*'R_P'!$K$3+Q57*'R_P'!$K$4</f>
        <v>475354.8</v>
      </c>
      <c r="S57" s="87"/>
      <c r="T57" s="79"/>
      <c r="U57" s="79"/>
      <c r="V57" s="79"/>
      <c r="W57" s="79"/>
      <c r="X57" s="79"/>
    </row>
    <row r="58" ht="22.35" customHeight="1">
      <c r="A58" s="77"/>
      <c r="B58" t="s" s="78">
        <v>96</v>
      </c>
      <c r="C58" t="str" s="79" cm="1">
        <f t="array" ref="C58">INDEX($W$4:$W$7,RANDBETWEEN(1,4))</f>
        <v>BB</v>
      </c>
      <c r="D58" t="str" s="79" cm="1">
        <f t="array" ref="D58">INDEX($X$4:$X$6,RANDBETWEEN(1,3))</f>
        <v>Energy</v>
      </c>
      <c r="E58" s="80" cm="1">
        <f t="array" ref="E58">MROUND(RANDBETWEEN(5000,50000000),1000)</f>
        <v>42612000</v>
      </c>
      <c r="F58" s="81" cm="1">
        <f t="array" ref="F58">RANDBETWEEN(1,6)</f>
        <v>1</v>
      </c>
      <c r="G58" s="81" cm="1">
        <f t="array" ref="G58">IF(OR(,C57="A",C57="BBB"),1,2)</f>
        <v>1</v>
      </c>
      <c r="H58" s="82" cm="1">
        <f t="array" ref="H58">_xlfn.XLOOKUP(D58,'R_P'!$E$2:$E$4,'R_P'!$G$2:$G$4)</f>
        <v>0.5</v>
      </c>
      <c r="I58" s="91" cm="1">
        <f t="array" ref="I58">_xlfn.XLOOKUP(C58,'R_P'!$B$2:$B$5,'R_P'!$C$2:$C$5)</f>
        <v>0.04</v>
      </c>
      <c r="J58" s="83" cm="1">
        <f t="array" ref="J58">1-(1-I58)^F58</f>
        <v>0.04</v>
      </c>
      <c r="K58" s="84" cm="1">
        <f t="array" ref="K58">IF(G58=1,I58*H58*E58,J58*H58*E58)</f>
        <v>852240</v>
      </c>
      <c r="L58" s="91" cm="1">
        <f t="array" ref="L58">I58*'R_P'!$J$3</f>
        <v>0.06</v>
      </c>
      <c r="M58" s="83" cm="1">
        <f t="array" ref="M58">1-(1-L58)^F58</f>
        <v>0.0600000000000001</v>
      </c>
      <c r="N58" s="84" cm="1">
        <f t="array" ref="N58">IF(G58=1,L58*H58*E58,M58*H58*E58)</f>
        <v>1278360</v>
      </c>
      <c r="O58" s="82" cm="1">
        <f t="array" ref="O58">L58*'R_P'!$J$4</f>
        <v>0.132</v>
      </c>
      <c r="P58" s="83" cm="1">
        <f t="array" ref="P58">1-(1-O58)^F58</f>
        <v>0.132</v>
      </c>
      <c r="Q58" s="84" cm="1">
        <f t="array" ref="Q58">IF(G58=1,O58*E58*H58,P58*E58*H58)</f>
        <v>2812392</v>
      </c>
      <c r="R58" s="86" cm="1">
        <f t="array" ref="R58">K58*'R_P'!$K$2+N58*'R_P'!$K$3+Q58*'R_P'!$K$4</f>
        <v>1176091.2</v>
      </c>
      <c r="S58" s="87"/>
      <c r="T58" s="79"/>
      <c r="U58" s="79"/>
      <c r="V58" s="79"/>
      <c r="W58" s="79"/>
      <c r="X58" s="79"/>
    </row>
    <row r="59" ht="22.35" customHeight="1">
      <c r="A59" s="77"/>
      <c r="B59" t="s" s="78">
        <v>97</v>
      </c>
      <c r="C59" t="str" s="79" cm="1">
        <f t="array" ref="C59">INDEX($W$4:$W$7,RANDBETWEEN(1,4))</f>
        <v>A</v>
      </c>
      <c r="D59" t="str" s="79" cm="1">
        <f t="array" ref="D59">INDEX($X$4:$X$6,RANDBETWEEN(1,3))</f>
        <v>Retail</v>
      </c>
      <c r="E59" s="80" cm="1">
        <f t="array" ref="E59">MROUND(RANDBETWEEN(5000,50000000),1000)</f>
        <v>34245000</v>
      </c>
      <c r="F59" s="81" cm="1">
        <f t="array" ref="F59">RANDBETWEEN(1,6)</f>
        <v>3</v>
      </c>
      <c r="G59" s="81" cm="1">
        <f t="array" ref="G59">IF(OR(,C58="A",C58="BBB"),1,2)</f>
        <v>2</v>
      </c>
      <c r="H59" s="91" cm="1">
        <f t="array" ref="H59">_xlfn.XLOOKUP(D59,'R_P'!$E$2:$E$4,'R_P'!$G$2:$G$4)</f>
        <v>1</v>
      </c>
      <c r="I59" s="82" cm="1">
        <f t="array" ref="I59">_xlfn.XLOOKUP(C59,'R_P'!$B$2:$B$5,'R_P'!$C$2:$C$5)</f>
        <v>0.005</v>
      </c>
      <c r="J59" s="83" cm="1">
        <f t="array" ref="J59">1-(1-I59)^F59</f>
        <v>0.014925125</v>
      </c>
      <c r="K59" s="84" cm="1">
        <f t="array" ref="K59">IF(G59=1,I59*H59*E59,J59*H59*E59)</f>
        <v>511110.905625</v>
      </c>
      <c r="L59" s="85" cm="1">
        <f t="array" ref="L59">I59*'R_P'!$J$3</f>
        <v>0.0075</v>
      </c>
      <c r="M59" s="83" cm="1">
        <f t="array" ref="M59">1-(1-L59)^F59</f>
        <v>0.0223316718749998</v>
      </c>
      <c r="N59" s="84" cm="1">
        <f t="array" ref="N59">IF(G59=1,L59*H59*E59,M59*H59*E59)</f>
        <v>764748.103359368</v>
      </c>
      <c r="O59" s="85" cm="1">
        <f t="array" ref="O59">L59*'R_P'!$J$4</f>
        <v>0.0165</v>
      </c>
      <c r="P59" s="83" cm="1">
        <f t="array" ref="P59">1-(1-O59)^F59</f>
        <v>0.0486877421249999</v>
      </c>
      <c r="Q59" s="84" cm="1">
        <f t="array" ref="Q59">IF(G59=1,O59*E59*H59,P59*E59*H59)</f>
        <v>1667311.72907062</v>
      </c>
      <c r="R59" s="86" cm="1">
        <f t="array" ref="R59">K59*'R_P'!$K$2+N59*'R_P'!$K$3+Q59*'R_P'!$K$4</f>
        <v>702822.1472898721</v>
      </c>
      <c r="S59" s="87"/>
      <c r="T59" s="79"/>
      <c r="U59" s="79"/>
      <c r="V59" s="79"/>
      <c r="W59" s="79"/>
      <c r="X59" s="79"/>
    </row>
    <row r="60" ht="22.35" customHeight="1">
      <c r="A60" s="77"/>
      <c r="B60" t="s" s="78">
        <v>98</v>
      </c>
      <c r="C60" t="str" s="79" cm="1">
        <f t="array" ref="C60">INDEX($W$4:$W$7,RANDBETWEEN(1,4))</f>
        <v>BB</v>
      </c>
      <c r="D60" t="str" s="79" cm="1">
        <f t="array" ref="D60">INDEX($X$4:$X$6,RANDBETWEEN(1,3))</f>
        <v>Energy</v>
      </c>
      <c r="E60" s="80" cm="1">
        <f t="array" ref="E60">MROUND(RANDBETWEEN(5000,50000000),1000)</f>
        <v>2673000</v>
      </c>
      <c r="F60" s="81" cm="1">
        <f t="array" ref="F60">RANDBETWEEN(1,6)</f>
        <v>5</v>
      </c>
      <c r="G60" s="81" cm="1">
        <f t="array" ref="G60">IF(OR(,C59="A",C59="BBB"),1,2)</f>
        <v>1</v>
      </c>
      <c r="H60" s="82" cm="1">
        <f t="array" ref="H60">_xlfn.XLOOKUP(D60,'R_P'!$E$2:$E$4,'R_P'!$G$2:$G$4)</f>
        <v>0.5</v>
      </c>
      <c r="I60" s="91" cm="1">
        <f t="array" ref="I60">_xlfn.XLOOKUP(C60,'R_P'!$B$2:$B$5,'R_P'!$C$2:$C$5)</f>
        <v>0.04</v>
      </c>
      <c r="J60" s="83" cm="1">
        <f t="array" ref="J60">1-(1-I60)^F60</f>
        <v>0.1846273024</v>
      </c>
      <c r="K60" s="84" cm="1">
        <f t="array" ref="K60">IF(G60=1,I60*H60*E60,J60*H60*E60)</f>
        <v>53460</v>
      </c>
      <c r="L60" s="91" cm="1">
        <f t="array" ref="L60">I60*'R_P'!$J$3</f>
        <v>0.06</v>
      </c>
      <c r="M60" s="83" cm="1">
        <f t="array" ref="M60">1-(1-L60)^F60</f>
        <v>0.2660959776</v>
      </c>
      <c r="N60" s="84" cm="1">
        <f t="array" ref="N60">IF(G60=1,L60*H60*E60,M60*H60*E60)</f>
        <v>80190</v>
      </c>
      <c r="O60" s="82" cm="1">
        <f t="array" ref="O60">L60*'R_P'!$J$4</f>
        <v>0.132</v>
      </c>
      <c r="P60" s="83" cm="1">
        <f t="array" ref="P60">1-(1-O60)^F60</f>
        <v>0.5072817757624321</v>
      </c>
      <c r="Q60" s="84" cm="1">
        <f t="array" ref="Q60">IF(G60=1,O60*E60*H60,P60*E60*H60)</f>
        <v>176418</v>
      </c>
      <c r="R60" s="86" cm="1">
        <f t="array" ref="R60">K60*'R_P'!$K$2+N60*'R_P'!$K$3+Q60*'R_P'!$K$4</f>
        <v>73774.8</v>
      </c>
      <c r="S60" s="87"/>
      <c r="T60" s="79"/>
      <c r="U60" s="79"/>
      <c r="V60" s="79"/>
      <c r="W60" s="79"/>
      <c r="X60" s="79"/>
    </row>
    <row r="61" ht="22.35" customHeight="1">
      <c r="A61" s="77"/>
      <c r="B61" t="s" s="78">
        <v>99</v>
      </c>
      <c r="C61" t="str" s="79" cm="1">
        <f t="array" ref="C61">INDEX($W$4:$W$7,RANDBETWEEN(1,4))</f>
        <v>B</v>
      </c>
      <c r="D61" t="str" s="79" cm="1">
        <f t="array" ref="D61">INDEX($X$4:$X$6,RANDBETWEEN(1,3))</f>
        <v>Tech</v>
      </c>
      <c r="E61" s="80" cm="1">
        <f t="array" ref="E61">MROUND(RANDBETWEEN(5000,50000000),1000)</f>
        <v>2968000</v>
      </c>
      <c r="F61" s="81" cm="1">
        <f t="array" ref="F61">RANDBETWEEN(1,6)</f>
        <v>6</v>
      </c>
      <c r="G61" s="81" cm="1">
        <f t="array" ref="G61">IF(OR(,C60="A",C60="BBB"),1,2)</f>
        <v>2</v>
      </c>
      <c r="H61" s="82" cm="1">
        <f t="array" ref="H61">_xlfn.XLOOKUP(D61,'R_P'!$E$2:$E$4,'R_P'!$G$2:$G$4)</f>
        <v>0.3</v>
      </c>
      <c r="I61" s="91" cm="1">
        <f t="array" ref="I61">_xlfn.XLOOKUP(C61,'R_P'!$B$2:$B$5,'R_P'!$C$2:$C$5)</f>
        <v>0.08</v>
      </c>
      <c r="J61" s="83" cm="1">
        <f t="array" ref="J61">1-(1-I61)^F61</f>
        <v>0.393644998656</v>
      </c>
      <c r="K61" s="84" cm="1">
        <f t="array" ref="K61">IF(G61=1,I61*H61*E61,J61*H61*E61)</f>
        <v>350501.506803302</v>
      </c>
      <c r="L61" s="91" cm="1">
        <f t="array" ref="L61">I61*'R_P'!$J$3</f>
        <v>0.12</v>
      </c>
      <c r="M61" s="83" cm="1">
        <f t="array" ref="M61">1-(1-L61)^F61</f>
        <v>0.535595913216</v>
      </c>
      <c r="N61" s="84" cm="1">
        <f t="array" ref="N61">IF(G61=1,L61*H61*E61,M61*H61*E61)</f>
        <v>476894.601127526</v>
      </c>
      <c r="O61" s="82" cm="1">
        <f t="array" ref="O61">L61*'R_P'!$J$4</f>
        <v>0.264</v>
      </c>
      <c r="P61" s="83" cm="1">
        <f t="array" ref="P61">1-(1-O61)^F61</f>
        <v>0.841047674527678</v>
      </c>
      <c r="Q61" s="84" cm="1">
        <f t="array" ref="Q61">IF(G61=1,O61*E61*H61,P61*E61*H61)</f>
        <v>748868.8493994439</v>
      </c>
      <c r="R61" s="86" cm="1">
        <f t="array" ref="R61">K61*'R_P'!$K$2+N61*'R_P'!$K$3+Q61*'R_P'!$K$4</f>
        <v>428256.169360183</v>
      </c>
      <c r="S61" s="87"/>
      <c r="T61" s="79"/>
      <c r="U61" s="79"/>
      <c r="V61" s="79"/>
      <c r="W61" s="79"/>
      <c r="X61" s="79"/>
    </row>
    <row r="62" ht="22.35" customHeight="1">
      <c r="A62" s="77"/>
      <c r="B62" t="s" s="78">
        <v>100</v>
      </c>
      <c r="C62" t="str" s="79" cm="1">
        <f t="array" ref="C62">INDEX($W$4:$W$7,RANDBETWEEN(1,4))</f>
        <v>BBB</v>
      </c>
      <c r="D62" t="str" s="79" cm="1">
        <f t="array" ref="D62">INDEX($X$4:$X$6,RANDBETWEEN(1,3))</f>
        <v>Energy</v>
      </c>
      <c r="E62" s="80" cm="1">
        <f t="array" ref="E62">MROUND(RANDBETWEEN(5000,50000000),1000)</f>
        <v>21193000</v>
      </c>
      <c r="F62" s="81" cm="1">
        <f t="array" ref="F62">RANDBETWEEN(1,6)</f>
        <v>1</v>
      </c>
      <c r="G62" s="81" cm="1">
        <f t="array" ref="G62">IF(OR(,C61="A",C61="BBB"),1,2)</f>
        <v>2</v>
      </c>
      <c r="H62" s="82" cm="1">
        <f t="array" ref="H62">_xlfn.XLOOKUP(D62,'R_P'!$E$2:$E$4,'R_P'!$G$2:$G$4)</f>
        <v>0.5</v>
      </c>
      <c r="I62" s="82" cm="1">
        <f t="array" ref="I62">_xlfn.XLOOKUP(C62,'R_P'!$B$2:$B$5,'R_P'!$C$2:$C$5)</f>
        <v>0.015</v>
      </c>
      <c r="J62" s="83" cm="1">
        <f t="array" ref="J62">1-(1-I62)^F62</f>
        <v>0.015</v>
      </c>
      <c r="K62" s="84" cm="1">
        <f t="array" ref="K62">IF(G62=1,I62*H62*E62,J62*H62*E62)</f>
        <v>158947.5</v>
      </c>
      <c r="L62" s="85" cm="1">
        <f t="array" ref="L62">I62*'R_P'!$J$3</f>
        <v>0.0225</v>
      </c>
      <c r="M62" s="83" cm="1">
        <f t="array" ref="M62">1-(1-L62)^F62</f>
        <v>0.0225</v>
      </c>
      <c r="N62" s="84" cm="1">
        <f t="array" ref="N62">IF(G62=1,L62*H62*E62,M62*H62*E62)</f>
        <v>238421.25</v>
      </c>
      <c r="O62" s="85" cm="1">
        <f t="array" ref="O62">L62*'R_P'!$J$4</f>
        <v>0.0495</v>
      </c>
      <c r="P62" s="83" cm="1">
        <f t="array" ref="P62">1-(1-O62)^F62</f>
        <v>0.0495</v>
      </c>
      <c r="Q62" s="84" cm="1">
        <f t="array" ref="Q62">IF(G62=1,O62*E62*H62,P62*E62*H62)</f>
        <v>524526.75</v>
      </c>
      <c r="R62" s="86" cm="1">
        <f t="array" ref="R62">K62*'R_P'!$K$2+N62*'R_P'!$K$3+Q62*'R_P'!$K$4</f>
        <v>219347.55</v>
      </c>
      <c r="S62" s="87"/>
      <c r="T62" s="79"/>
      <c r="U62" s="79"/>
      <c r="V62" s="79"/>
      <c r="W62" s="79"/>
      <c r="X62" s="79"/>
    </row>
    <row r="63" ht="22.55" customHeight="1">
      <c r="A63" s="77"/>
      <c r="B63" t="s" s="95">
        <v>101</v>
      </c>
      <c r="C63" t="str" s="96" cm="1">
        <f t="array" ref="C63">INDEX($W$4:$W$7,RANDBETWEEN(1,4))</f>
        <v>BB</v>
      </c>
      <c r="D63" t="str" s="96" cm="1">
        <f t="array" ref="D63">INDEX($X$4:$X$6,RANDBETWEEN(1,3))</f>
        <v>Retail</v>
      </c>
      <c r="E63" s="97" cm="1">
        <f t="array" ref="E63">MROUND(RANDBETWEEN(5000,50000000),1000)</f>
        <v>6320000</v>
      </c>
      <c r="F63" s="98" cm="1">
        <f t="array" ref="F63">RANDBETWEEN(1,6)</f>
        <v>3</v>
      </c>
      <c r="G63" s="98" cm="1">
        <f t="array" ref="G63">IF(OR(,C62="A",C62="BBB"),1,2)</f>
        <v>1</v>
      </c>
      <c r="H63" s="99" cm="1">
        <f t="array" ref="H63">_xlfn.XLOOKUP(D63,'R_P'!$E$2:$E$4,'R_P'!$G$2:$G$4)</f>
        <v>1</v>
      </c>
      <c r="I63" s="99" cm="1">
        <f t="array" ref="I63">_xlfn.XLOOKUP(C63,'R_P'!$B$2:$B$5,'R_P'!$C$2:$C$5)</f>
        <v>0.04</v>
      </c>
      <c r="J63" s="100" cm="1">
        <f t="array" ref="J63">1-(1-I63)^F63</f>
        <v>0.115264</v>
      </c>
      <c r="K63" s="101" cm="1">
        <f t="array" ref="K63">IF(G63=1,I63*H63*E63,J63*H63*E63)</f>
        <v>252800</v>
      </c>
      <c r="L63" s="99" cm="1">
        <f t="array" ref="L63">I63*'R_P'!$J$3</f>
        <v>0.06</v>
      </c>
      <c r="M63" s="100" cm="1">
        <f t="array" ref="M63">1-(1-L63)^F63</f>
        <v>0.169416</v>
      </c>
      <c r="N63" s="101" cm="1">
        <f t="array" ref="N63">IF(G63=1,L63*H63*E63,M63*H63*E63)</f>
        <v>379200</v>
      </c>
      <c r="O63" s="102" cm="1">
        <f t="array" ref="O63">L63*'R_P'!$J$4</f>
        <v>0.132</v>
      </c>
      <c r="P63" s="100" cm="1">
        <f t="array" ref="P63">1-(1-O63)^F63</f>
        <v>0.346027968</v>
      </c>
      <c r="Q63" s="101" cm="1">
        <f t="array" ref="Q63">IF(G63=1,O63*E63*H63,P63*E63*H63)</f>
        <v>834240</v>
      </c>
      <c r="R63" s="103" cm="1">
        <f t="array" ref="R63">K63*'R_P'!$K$2+N63*'R_P'!$K$3+Q63*'R_P'!$K$4</f>
        <v>348864</v>
      </c>
      <c r="S63" s="87"/>
      <c r="T63" s="79"/>
      <c r="U63" s="79"/>
      <c r="V63" s="79"/>
      <c r="W63" s="79"/>
      <c r="X63" s="79"/>
    </row>
    <row r="64" ht="20.25" customHeight="1">
      <c r="A64" s="79"/>
      <c r="B64" s="63"/>
      <c r="C64" s="63"/>
      <c r="D64" s="63"/>
      <c r="E64" s="70"/>
      <c r="F64" s="63"/>
      <c r="G64" s="63"/>
      <c r="H64" s="63"/>
      <c r="I64" s="63"/>
      <c r="J64" s="63"/>
      <c r="K64" s="70"/>
      <c r="L64" s="63"/>
      <c r="M64" s="63"/>
      <c r="N64" s="70"/>
      <c r="O64" s="63"/>
      <c r="P64" s="69"/>
      <c r="Q64" s="70"/>
      <c r="R64" s="70"/>
      <c r="S64" s="79"/>
      <c r="T64" s="79"/>
      <c r="U64" s="79"/>
      <c r="V64" s="79"/>
      <c r="W64" s="79"/>
      <c r="X64" s="79"/>
    </row>
    <row r="65" ht="20.05" customHeight="1">
      <c r="A65" s="79"/>
      <c r="B65" s="79"/>
      <c r="C65" s="79"/>
      <c r="D65" s="79"/>
      <c r="E65" s="84"/>
      <c r="F65" s="79"/>
      <c r="G65" s="79"/>
      <c r="H65" s="79"/>
      <c r="I65" s="79"/>
      <c r="J65" s="79"/>
      <c r="K65" s="84"/>
      <c r="L65" s="79"/>
      <c r="M65" s="79"/>
      <c r="N65" s="84"/>
      <c r="O65" s="79"/>
      <c r="P65" s="83"/>
      <c r="Q65" s="84"/>
      <c r="R65" s="84"/>
      <c r="S65" s="79"/>
      <c r="T65" s="79"/>
      <c r="U65" s="79"/>
      <c r="V65" s="79"/>
      <c r="W65" s="79"/>
      <c r="X65" s="79"/>
    </row>
    <row r="66" ht="20.05" customHeight="1">
      <c r="A66" s="79"/>
      <c r="B66" s="79"/>
      <c r="C66" s="79"/>
      <c r="D66" s="79"/>
      <c r="E66" s="84"/>
      <c r="F66" s="79"/>
      <c r="G66" s="79"/>
      <c r="H66" s="79"/>
      <c r="I66" s="79"/>
      <c r="J66" s="79"/>
      <c r="K66" s="84"/>
      <c r="L66" s="79"/>
      <c r="M66" s="79"/>
      <c r="N66" s="84"/>
      <c r="O66" s="79"/>
      <c r="P66" s="79"/>
      <c r="Q66" s="84"/>
      <c r="R66" s="84"/>
      <c r="S66" s="79"/>
      <c r="T66" s="79"/>
      <c r="U66" s="79"/>
      <c r="V66" s="79"/>
      <c r="W66" s="79"/>
      <c r="X66" s="79"/>
    </row>
    <row r="67" ht="20.05" customHeight="1">
      <c r="A67" s="79"/>
      <c r="B67" s="79"/>
      <c r="C67" s="79"/>
      <c r="D67" s="79"/>
      <c r="E67" s="84"/>
      <c r="F67" s="79"/>
      <c r="G67" s="79"/>
      <c r="H67" s="79"/>
      <c r="I67" s="79"/>
      <c r="J67" s="79"/>
      <c r="K67" s="84"/>
      <c r="L67" s="79"/>
      <c r="M67" s="79"/>
      <c r="N67" s="84"/>
      <c r="O67" s="79"/>
      <c r="P67" s="79"/>
      <c r="Q67" s="84"/>
      <c r="R67" s="84"/>
      <c r="S67" s="79"/>
      <c r="T67" s="79"/>
      <c r="U67" s="79"/>
      <c r="V67" s="79"/>
      <c r="W67" s="79"/>
      <c r="X67" s="79"/>
    </row>
    <row r="68" ht="20.05" customHeight="1">
      <c r="A68" s="79"/>
      <c r="B68" s="79"/>
      <c r="C68" s="79"/>
      <c r="D68" s="79"/>
      <c r="E68" s="84"/>
      <c r="F68" s="79"/>
      <c r="G68" s="79"/>
      <c r="H68" s="79"/>
      <c r="I68" s="79"/>
      <c r="J68" s="79"/>
      <c r="K68" s="84"/>
      <c r="L68" s="79"/>
      <c r="M68" s="79"/>
      <c r="N68" s="84"/>
      <c r="O68" s="79"/>
      <c r="P68" s="79"/>
      <c r="Q68" s="84"/>
      <c r="R68" s="84"/>
      <c r="S68" s="79"/>
      <c r="T68" s="79"/>
      <c r="U68" s="79"/>
      <c r="V68" s="79"/>
      <c r="W68" s="79"/>
      <c r="X68" s="79"/>
    </row>
    <row r="69" ht="20.05" customHeight="1">
      <c r="A69" s="79"/>
      <c r="B69" s="79"/>
      <c r="C69" s="79"/>
      <c r="D69" s="79"/>
      <c r="E69" s="84"/>
      <c r="F69" s="79"/>
      <c r="G69" s="79"/>
      <c r="H69" s="79"/>
      <c r="I69" s="79"/>
      <c r="J69" s="79"/>
      <c r="K69" s="84"/>
      <c r="L69" s="79"/>
      <c r="M69" s="79"/>
      <c r="N69" s="84"/>
      <c r="O69" s="79"/>
      <c r="P69" s="79"/>
      <c r="Q69" s="84"/>
      <c r="R69" s="84"/>
      <c r="S69" s="79"/>
      <c r="T69" s="79"/>
      <c r="U69" s="79"/>
      <c r="V69" s="79"/>
      <c r="W69" s="79"/>
      <c r="X69" s="79"/>
    </row>
    <row r="70" ht="20.05" customHeight="1">
      <c r="A70" s="79"/>
      <c r="B70" s="79"/>
      <c r="C70" s="79"/>
      <c r="D70" s="79"/>
      <c r="E70" s="84"/>
      <c r="F70" s="79"/>
      <c r="G70" s="79"/>
      <c r="H70" s="79"/>
      <c r="I70" s="79"/>
      <c r="J70" s="79"/>
      <c r="K70" s="84"/>
      <c r="L70" s="79"/>
      <c r="M70" s="79"/>
      <c r="N70" s="84"/>
      <c r="O70" s="79"/>
      <c r="P70" s="79"/>
      <c r="Q70" s="84"/>
      <c r="R70" s="84"/>
      <c r="S70" s="79"/>
      <c r="T70" s="79"/>
      <c r="U70" s="79"/>
      <c r="V70" s="79"/>
      <c r="W70" s="79"/>
      <c r="X70" s="79"/>
    </row>
    <row r="71" ht="20.05" customHeight="1">
      <c r="A71" s="79"/>
      <c r="B71" s="79"/>
      <c r="C71" s="79"/>
      <c r="D71" s="79"/>
      <c r="E71" s="84"/>
      <c r="F71" s="79"/>
      <c r="G71" s="79"/>
      <c r="H71" s="79"/>
      <c r="I71" s="79"/>
      <c r="J71" s="79"/>
      <c r="K71" s="84"/>
      <c r="L71" s="79"/>
      <c r="M71" s="79"/>
      <c r="N71" s="84"/>
      <c r="O71" s="79"/>
      <c r="P71" s="79"/>
      <c r="Q71" s="84"/>
      <c r="R71" s="84"/>
      <c r="S71" s="79"/>
      <c r="T71" s="79"/>
      <c r="U71" s="79"/>
      <c r="V71" s="79"/>
      <c r="W71" s="79"/>
      <c r="X71" s="79"/>
    </row>
    <row r="72" ht="20.05" customHeight="1">
      <c r="A72" s="79"/>
      <c r="B72" s="79"/>
      <c r="C72" s="79"/>
      <c r="D72" s="79"/>
      <c r="E72" s="84"/>
      <c r="F72" s="79"/>
      <c r="G72" s="79"/>
      <c r="H72" s="79"/>
      <c r="I72" s="79"/>
      <c r="J72" s="79"/>
      <c r="K72" s="84"/>
      <c r="L72" s="79"/>
      <c r="M72" s="79"/>
      <c r="N72" s="84"/>
      <c r="O72" s="79"/>
      <c r="P72" s="79"/>
      <c r="Q72" s="84"/>
      <c r="R72" s="84"/>
      <c r="S72" s="79"/>
      <c r="T72" s="79"/>
      <c r="U72" s="79"/>
      <c r="V72" s="79"/>
      <c r="W72" s="79"/>
      <c r="X72" s="79"/>
    </row>
    <row r="73" ht="20.05" customHeight="1">
      <c r="A73" s="79"/>
      <c r="B73" s="79"/>
      <c r="C73" s="79"/>
      <c r="D73" s="79"/>
      <c r="E73" s="84"/>
      <c r="F73" s="79"/>
      <c r="G73" s="79"/>
      <c r="H73" s="79"/>
      <c r="I73" s="79"/>
      <c r="J73" s="79"/>
      <c r="K73" s="84"/>
      <c r="L73" s="79"/>
      <c r="M73" s="79"/>
      <c r="N73" s="84"/>
      <c r="O73" s="79"/>
      <c r="P73" s="79"/>
      <c r="Q73" s="84"/>
      <c r="R73" s="84"/>
      <c r="S73" s="79"/>
      <c r="T73" s="79"/>
      <c r="U73" s="79"/>
      <c r="V73" s="79"/>
      <c r="W73" s="79"/>
      <c r="X73" s="79"/>
    </row>
    <row r="74" ht="20.05" customHeight="1">
      <c r="A74" s="79"/>
      <c r="B74" s="79"/>
      <c r="C74" s="79"/>
      <c r="D74" s="79"/>
      <c r="E74" s="84"/>
      <c r="F74" s="79"/>
      <c r="G74" s="79"/>
      <c r="H74" s="79"/>
      <c r="I74" s="79"/>
      <c r="J74" s="79"/>
      <c r="K74" s="84"/>
      <c r="L74" s="79"/>
      <c r="M74" s="79"/>
      <c r="N74" s="84"/>
      <c r="O74" s="79"/>
      <c r="P74" s="79"/>
      <c r="Q74" s="84"/>
      <c r="R74" s="84"/>
      <c r="S74" s="79"/>
      <c r="T74" s="79"/>
      <c r="U74" s="79"/>
      <c r="V74" s="79"/>
      <c r="W74" s="79"/>
      <c r="X74" s="79"/>
    </row>
    <row r="75" ht="20.05" customHeight="1">
      <c r="A75" s="79"/>
      <c r="B75" s="79"/>
      <c r="C75" s="79"/>
      <c r="D75" s="79"/>
      <c r="E75" s="84"/>
      <c r="F75" s="79"/>
      <c r="G75" s="79"/>
      <c r="H75" s="79"/>
      <c r="I75" s="79"/>
      <c r="J75" s="79"/>
      <c r="K75" s="84"/>
      <c r="L75" s="79"/>
      <c r="M75" s="79"/>
      <c r="N75" s="84"/>
      <c r="O75" s="79"/>
      <c r="P75" s="79"/>
      <c r="Q75" s="84"/>
      <c r="R75" s="84"/>
      <c r="S75" s="79"/>
      <c r="T75" s="79"/>
      <c r="U75" s="79"/>
      <c r="V75" s="79"/>
      <c r="W75" s="79"/>
      <c r="X75" s="79"/>
    </row>
    <row r="76" ht="20.05" customHeight="1">
      <c r="A76" s="79"/>
      <c r="B76" s="79"/>
      <c r="C76" s="79"/>
      <c r="D76" s="79"/>
      <c r="E76" s="84"/>
      <c r="F76" s="79"/>
      <c r="G76" s="79"/>
      <c r="H76" s="79"/>
      <c r="I76" s="79"/>
      <c r="J76" s="79"/>
      <c r="K76" s="84"/>
      <c r="L76" s="79"/>
      <c r="M76" s="79"/>
      <c r="N76" s="84"/>
      <c r="O76" s="79"/>
      <c r="P76" s="79"/>
      <c r="Q76" s="84"/>
      <c r="R76" s="84"/>
      <c r="S76" s="79"/>
      <c r="T76" s="79"/>
      <c r="U76" s="79"/>
      <c r="V76" s="79"/>
      <c r="W76" s="79"/>
      <c r="X76" s="79"/>
    </row>
    <row r="77" ht="20.05" customHeight="1">
      <c r="A77" s="79"/>
      <c r="B77" s="79"/>
      <c r="C77" s="79"/>
      <c r="D77" s="79"/>
      <c r="E77" s="84"/>
      <c r="F77" s="79"/>
      <c r="G77" s="79"/>
      <c r="H77" s="79"/>
      <c r="I77" s="79"/>
      <c r="J77" s="79"/>
      <c r="K77" s="84"/>
      <c r="L77" s="79"/>
      <c r="M77" s="79"/>
      <c r="N77" s="84"/>
      <c r="O77" s="79"/>
      <c r="P77" s="79"/>
      <c r="Q77" s="84"/>
      <c r="R77" s="84"/>
      <c r="S77" s="79"/>
      <c r="T77" s="79"/>
      <c r="U77" s="79"/>
      <c r="V77" s="79"/>
      <c r="W77" s="79"/>
      <c r="X77" s="79"/>
    </row>
    <row r="78" ht="20.05" customHeight="1">
      <c r="A78" s="79"/>
      <c r="B78" s="79"/>
      <c r="C78" s="79"/>
      <c r="D78" s="79"/>
      <c r="E78" s="84"/>
      <c r="F78" s="79"/>
      <c r="G78" s="79"/>
      <c r="H78" s="79"/>
      <c r="I78" s="79"/>
      <c r="J78" s="79"/>
      <c r="K78" s="84"/>
      <c r="L78" s="79"/>
      <c r="M78" s="79"/>
      <c r="N78" s="84"/>
      <c r="O78" s="79"/>
      <c r="P78" s="79"/>
      <c r="Q78" s="84"/>
      <c r="R78" s="84"/>
      <c r="S78" s="79"/>
      <c r="T78" s="79"/>
      <c r="U78" s="79"/>
      <c r="V78" s="79"/>
      <c r="W78" s="79"/>
      <c r="X78" s="79"/>
    </row>
    <row r="79" ht="20.05" customHeight="1">
      <c r="A79" s="79"/>
      <c r="B79" s="79"/>
      <c r="C79" s="79"/>
      <c r="D79" s="79"/>
      <c r="E79" s="84"/>
      <c r="F79" s="79"/>
      <c r="G79" s="79"/>
      <c r="H79" s="79"/>
      <c r="I79" s="79"/>
      <c r="J79" s="79"/>
      <c r="K79" s="84"/>
      <c r="L79" s="79"/>
      <c r="M79" s="79"/>
      <c r="N79" s="84"/>
      <c r="O79" s="79"/>
      <c r="P79" s="79"/>
      <c r="Q79" s="84"/>
      <c r="R79" s="84"/>
      <c r="S79" s="79"/>
      <c r="T79" s="79"/>
      <c r="U79" s="79"/>
      <c r="V79" s="79"/>
      <c r="W79" s="79"/>
      <c r="X79" s="79"/>
    </row>
    <row r="80" ht="20.05" customHeight="1">
      <c r="A80" s="79"/>
      <c r="B80" s="79"/>
      <c r="C80" s="79"/>
      <c r="D80" s="79"/>
      <c r="E80" s="84"/>
      <c r="F80" s="79"/>
      <c r="G80" s="79"/>
      <c r="H80" s="79"/>
      <c r="I80" s="79"/>
      <c r="J80" s="79"/>
      <c r="K80" s="84"/>
      <c r="L80" s="79"/>
      <c r="M80" s="79"/>
      <c r="N80" s="84"/>
      <c r="O80" s="79"/>
      <c r="P80" s="79"/>
      <c r="Q80" s="84"/>
      <c r="R80" s="84"/>
      <c r="S80" s="79"/>
      <c r="T80" s="79"/>
      <c r="U80" s="79"/>
      <c r="V80" s="79"/>
      <c r="W80" s="79"/>
      <c r="X80" s="79"/>
    </row>
    <row r="81" ht="20.05" customHeight="1">
      <c r="A81" s="79"/>
      <c r="B81" s="79"/>
      <c r="C81" s="79"/>
      <c r="D81" s="79"/>
      <c r="E81" s="84"/>
      <c r="F81" s="79"/>
      <c r="G81" s="79"/>
      <c r="H81" s="79"/>
      <c r="I81" s="79"/>
      <c r="J81" s="79"/>
      <c r="K81" s="84"/>
      <c r="L81" s="79"/>
      <c r="M81" s="79"/>
      <c r="N81" s="84"/>
      <c r="O81" s="79"/>
      <c r="P81" s="79"/>
      <c r="Q81" s="84"/>
      <c r="R81" s="84"/>
      <c r="S81" s="79"/>
      <c r="T81" s="79"/>
      <c r="U81" s="79"/>
      <c r="V81" s="79"/>
      <c r="W81" s="79"/>
      <c r="X81" s="79"/>
    </row>
    <row r="82" ht="20.05" customHeight="1">
      <c r="A82" s="79"/>
      <c r="B82" s="79"/>
      <c r="C82" s="79"/>
      <c r="D82" s="79"/>
      <c r="E82" s="84"/>
      <c r="F82" s="79"/>
      <c r="G82" s="79"/>
      <c r="H82" s="79"/>
      <c r="I82" s="79"/>
      <c r="J82" s="79"/>
      <c r="K82" s="84"/>
      <c r="L82" s="79"/>
      <c r="M82" s="79"/>
      <c r="N82" s="84"/>
      <c r="O82" s="79"/>
      <c r="P82" s="79"/>
      <c r="Q82" s="84"/>
      <c r="R82" s="84"/>
      <c r="S82" s="79"/>
      <c r="T82" s="79"/>
      <c r="U82" s="79"/>
      <c r="V82" s="79"/>
      <c r="W82" s="79"/>
      <c r="X82" s="79"/>
    </row>
    <row r="83" ht="20.05" customHeight="1">
      <c r="A83" s="79"/>
      <c r="B83" s="79"/>
      <c r="C83" s="79"/>
      <c r="D83" s="79"/>
      <c r="E83" s="84"/>
      <c r="F83" s="79"/>
      <c r="G83" s="79"/>
      <c r="H83" s="79"/>
      <c r="I83" s="79"/>
      <c r="J83" s="79"/>
      <c r="K83" s="84"/>
      <c r="L83" s="79"/>
      <c r="M83" s="79"/>
      <c r="N83" s="84"/>
      <c r="O83" s="79"/>
      <c r="P83" s="79"/>
      <c r="Q83" s="84"/>
      <c r="R83" s="84"/>
      <c r="S83" s="79"/>
      <c r="T83" s="79"/>
      <c r="U83" s="79"/>
      <c r="V83" s="79"/>
      <c r="W83" s="79"/>
      <c r="X83" s="79"/>
    </row>
    <row r="84" ht="20.05" customHeight="1">
      <c r="A84" s="79"/>
      <c r="B84" s="79"/>
      <c r="C84" s="79"/>
      <c r="D84" s="79"/>
      <c r="E84" s="84"/>
      <c r="F84" s="79"/>
      <c r="G84" s="79"/>
      <c r="H84" s="79"/>
      <c r="I84" s="79"/>
      <c r="J84" s="79"/>
      <c r="K84" s="84"/>
      <c r="L84" s="79"/>
      <c r="M84" s="79"/>
      <c r="N84" s="84"/>
      <c r="O84" s="79"/>
      <c r="P84" s="79"/>
      <c r="Q84" s="84"/>
      <c r="R84" s="84"/>
      <c r="S84" s="79"/>
      <c r="T84" s="79"/>
      <c r="U84" s="79"/>
      <c r="V84" s="79"/>
      <c r="W84" s="79"/>
      <c r="X84" s="79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K8"/>
  <sheetViews>
    <sheetView workbookViewId="0" showGridLines="0" defaultGridColor="1">
      <pane topLeftCell="A2" xSplit="0" ySplit="1" activePane="bottomLeft" state="frozen"/>
    </sheetView>
  </sheetViews>
  <sheetFormatPr defaultColWidth="16.3333" defaultRowHeight="19.9" customHeight="1" outlineLevelRow="0" outlineLevelCol="0"/>
  <cols>
    <col min="1" max="11" width="16.3516" style="104" customWidth="1"/>
    <col min="12" max="16384" width="16.3516" style="104" customWidth="1"/>
  </cols>
  <sheetData>
    <row r="1" ht="20.05" customHeight="1">
      <c r="A1" s="105"/>
      <c r="B1" t="s" s="106">
        <v>16</v>
      </c>
      <c r="C1" t="s" s="106">
        <v>102</v>
      </c>
      <c r="D1" s="107"/>
      <c r="E1" t="s" s="106">
        <v>103</v>
      </c>
      <c r="F1" t="s" s="106">
        <v>104</v>
      </c>
      <c r="G1" t="s" s="106">
        <v>21</v>
      </c>
      <c r="H1" s="107"/>
      <c r="I1" t="s" s="106">
        <v>105</v>
      </c>
      <c r="J1" t="s" s="106">
        <v>106</v>
      </c>
      <c r="K1" t="s" s="106">
        <v>107</v>
      </c>
    </row>
    <row r="2" ht="20.05" customHeight="1">
      <c r="A2" s="108"/>
      <c r="B2" t="s" s="109">
        <v>38</v>
      </c>
      <c r="C2" s="82">
        <v>0.005</v>
      </c>
      <c r="D2" s="110"/>
      <c r="E2" t="s" s="109">
        <v>37</v>
      </c>
      <c r="F2" s="82">
        <v>0.7</v>
      </c>
      <c r="G2" s="82" cm="1">
        <f t="array" ref="G2">1-$F2</f>
        <v>0.3</v>
      </c>
      <c r="H2" s="110"/>
      <c r="I2" t="s" s="109">
        <v>108</v>
      </c>
      <c r="J2" s="81">
        <v>1</v>
      </c>
      <c r="K2" s="82">
        <v>0.6</v>
      </c>
    </row>
    <row r="3" ht="20.05" customHeight="1">
      <c r="A3" s="108"/>
      <c r="B3" t="s" s="109">
        <v>40</v>
      </c>
      <c r="C3" s="82">
        <v>0.015</v>
      </c>
      <c r="D3" s="110"/>
      <c r="E3" t="s" s="109">
        <v>41</v>
      </c>
      <c r="F3" s="82">
        <v>0.5</v>
      </c>
      <c r="G3" s="82" cm="1">
        <f t="array" ref="G3">1-$F3</f>
        <v>0.5</v>
      </c>
      <c r="H3" s="110"/>
      <c r="I3" t="s" s="109">
        <v>109</v>
      </c>
      <c r="J3" s="81">
        <v>1.5</v>
      </c>
      <c r="K3" s="82">
        <v>0.3</v>
      </c>
    </row>
    <row r="4" ht="20.05" customHeight="1">
      <c r="A4" s="108"/>
      <c r="B4" t="s" s="109">
        <v>36</v>
      </c>
      <c r="C4" s="91">
        <v>0.04</v>
      </c>
      <c r="D4" s="110"/>
      <c r="E4" t="s" s="109">
        <v>43</v>
      </c>
      <c r="F4" s="91">
        <v>0</v>
      </c>
      <c r="G4" s="91" cm="1">
        <f t="array" ref="G4">1-$F4</f>
        <v>1</v>
      </c>
      <c r="H4" s="110"/>
      <c r="I4" t="s" s="109">
        <v>110</v>
      </c>
      <c r="J4" s="81">
        <v>2.2</v>
      </c>
      <c r="K4" s="82">
        <v>0.1</v>
      </c>
    </row>
    <row r="5" ht="20.05" customHeight="1">
      <c r="A5" s="108"/>
      <c r="B5" t="s" s="109">
        <v>45</v>
      </c>
      <c r="C5" s="91">
        <v>0.08</v>
      </c>
      <c r="D5" s="111"/>
      <c r="E5" s="112"/>
      <c r="F5" s="112"/>
      <c r="G5" s="112"/>
      <c r="H5" s="9"/>
      <c r="I5" s="112"/>
      <c r="J5" s="112"/>
      <c r="K5" s="112"/>
    </row>
    <row r="6" ht="19.85" customHeight="1">
      <c r="A6" s="9"/>
      <c r="B6" s="112"/>
      <c r="C6" s="112"/>
      <c r="D6" s="9"/>
      <c r="E6" s="9"/>
      <c r="F6" s="9"/>
      <c r="G6" s="9"/>
      <c r="H6" s="9"/>
      <c r="I6" s="9"/>
      <c r="J6" s="9"/>
      <c r="K6" s="9"/>
    </row>
    <row r="7" ht="19.7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</row>
    <row r="8" ht="19.7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